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all List" sheetId="2" state="visible" r:id="rId2"/>
    <sheet name="Verify First" sheetId="3" state="visible" r:id="rId3"/>
    <sheet name="Duplicates" sheetId="4" state="visible" r:id="rId4"/>
    <sheet name="Summary" sheetId="5" state="visible" r:id="rId5"/>
  </sheets>
  <definedNames>
    <definedName name="_xlnm._FilterDatabase" localSheetId="1" hidden="1">'Call List'!$A$1:$O$686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5"/>
    </font>
    <font>
      <name val="Arial"/>
      <color rgb="00555555"/>
      <sz val="10"/>
    </font>
    <font>
      <name val="Arial"/>
      <b val="1"/>
      <sz val="10"/>
    </font>
    <font>
      <name val="Arial"/>
      <sz val="10"/>
    </font>
    <font>
      <name val="Arial"/>
      <b val="1"/>
      <color rgb="00FFFFFF"/>
      <sz val="10"/>
    </font>
    <font>
      <name val="Arial"/>
      <b val="1"/>
      <color rgb="00006100"/>
      <sz val="10"/>
    </font>
    <font>
      <name val="Arial"/>
      <b val="1"/>
      <color rgb="00C00000"/>
      <sz val="10"/>
    </font>
    <font>
      <name val="Arial"/>
      <color rgb="00808080"/>
      <sz val="10"/>
    </font>
  </fonts>
  <fills count="7">
    <fill>
      <patternFill/>
    </fill>
    <fill>
      <patternFill patternType="gray125"/>
    </fill>
    <fill>
      <patternFill patternType="solid">
        <fgColor rgb="001F3864"/>
      </patternFill>
    </fill>
    <fill>
      <patternFill patternType="solid">
        <fgColor rgb="00E2EFDA"/>
      </patternFill>
    </fill>
    <fill>
      <patternFill patternType="solid">
        <fgColor rgb="00FFFFCC"/>
      </patternFill>
    </fill>
    <fill>
      <patternFill patternType="solid">
        <fgColor rgb="00FFF2CC"/>
      </patternFill>
    </fill>
    <fill>
      <patternFill patternType="solid">
        <fgColor rgb="00F2F2F2"/>
      </patternFill>
    </fill>
  </fills>
  <borders count="2">
    <border>
      <left/>
      <right/>
      <top/>
      <bottom/>
      <diagonal/>
    </border>
    <border>
      <bottom style="thin">
        <color rgb="00D9D9D9"/>
      </bottom>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applyAlignment="1" pivotButton="0" quotePrefix="0" xfId="0">
      <alignment vertical="top" wrapText="1" indent="1"/>
    </xf>
    <xf numFmtId="0" fontId="5" fillId="2" borderId="0" applyAlignment="1" pivotButton="0" quotePrefix="0" xfId="0">
      <alignment horizontal="center" vertical="center" wrapText="1"/>
    </xf>
    <xf numFmtId="0" fontId="4" fillId="3" borderId="1" applyAlignment="1" pivotButton="0" quotePrefix="0" xfId="0">
      <alignment horizontal="center" vertical="top"/>
    </xf>
    <xf numFmtId="0" fontId="6" fillId="0" borderId="1" applyAlignment="1" pivotButton="0" quotePrefix="0" xfId="0">
      <alignment vertical="top"/>
    </xf>
    <xf numFmtId="0" fontId="4" fillId="0" borderId="1" applyAlignment="1" pivotButton="0" quotePrefix="0" xfId="0">
      <alignment vertical="top"/>
    </xf>
    <xf numFmtId="0" fontId="4" fillId="4" borderId="1" applyAlignment="1" pivotButton="0" quotePrefix="0" xfId="0">
      <alignment vertical="top"/>
    </xf>
    <xf numFmtId="0" fontId="7" fillId="0" borderId="1" applyAlignment="1" pivotButton="0" quotePrefix="0" xfId="0">
      <alignment vertical="top"/>
    </xf>
    <xf numFmtId="0" fontId="8" fillId="0" borderId="1" applyAlignment="1" pivotButton="0" quotePrefix="0" xfId="0">
      <alignment vertical="top"/>
    </xf>
    <xf numFmtId="0" fontId="4" fillId="5" borderId="1" applyAlignment="1" pivotButton="0" quotePrefix="0" xfId="0">
      <alignment horizontal="center" vertical="top"/>
    </xf>
    <xf numFmtId="0" fontId="4" fillId="6" borderId="1" applyAlignment="1" pivotButton="0" quotePrefix="0" xfId="0">
      <alignment horizontal="center" vertical="top"/>
    </xf>
    <xf numFmtId="0" fontId="1" fillId="0" borderId="0" pivotButton="0" quotePrefix="0" xfId="0"/>
    <xf numFmtId="0" fontId="5" fillId="2" borderId="0" applyAlignment="1" pivotButton="0" quotePrefix="0" xfId="0">
      <alignment horizontal="center" vertical="center"/>
    </xf>
    <xf numFmtId="0" fontId="7" fillId="0" borderId="1" applyAlignment="1" pivotButton="0" quotePrefix="0" xfId="0">
      <alignment vertical="top"/>
    </xf>
    <xf numFmtId="0" fontId="4" fillId="0" borderId="1" applyAlignment="1" pivotButton="0" quotePrefix="0" xfId="0">
      <alignment vertical="top"/>
    </xf>
    <xf numFmtId="0" fontId="2" fillId="0" borderId="0" pivotButton="0" quotePrefix="0" xfId="0"/>
    <xf numFmtId="0" fontId="3" fillId="0" borderId="0" pivotButton="0" quotePrefix="0" xfId="0"/>
    <xf numFmtId="0" fontId="3" fillId="0" borderId="0" applyAlignment="1" pivotButton="0" quotePrefix="0" xfId="0">
      <alignment horizontal="right"/>
    </xf>
    <xf numFmtId="0" fontId="4" fillId="0" borderId="0" pivotButton="0" quotePrefix="0" xfId="0"/>
    <xf numFmtId="0" fontId="4"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110" customWidth="1" min="2" max="2"/>
  </cols>
  <sheetData>
    <row r="2">
      <c r="B2" s="1" t="inlineStr">
        <is>
          <t>Hamilton County, TN - Mobile Auto Glass Call List</t>
        </is>
      </c>
    </row>
    <row r="3">
      <c r="B3" s="2" t="inlineStr">
        <is>
          <t>Built 2026-09-05 from Hamilton_County_Auto_Glass_Leads_verified.xlsx (685 prospects, all in Hamilton County).</t>
        </is>
      </c>
    </row>
    <row r="5">
      <c r="B5" s="3" t="inlineStr">
        <is>
          <t>What this workbook is for</t>
        </is>
      </c>
    </row>
    <row r="6">
      <c r="B6" s="4" t="inlineStr">
        <is>
          <t>A call-ready version of the lead database. Same 685 businesses, re-ordered so the rows you can trust are at the top, with the phone numbers we could not source separated out so you do not waste calls on them. The four blank columns on the right (shaded yellow) are yours to fill in as you work the list.</t>
        </is>
      </c>
    </row>
    <row r="8">
      <c r="B8" s="3" t="inlineStr">
        <is>
          <t>How the phone numbers were checked</t>
        </is>
      </c>
    </row>
    <row r="9">
      <c r="B9" s="4" t="inlineStr">
        <is>
          <t>Every number in the "Confirmed" and "Corrected" rows was read off the company's own website. No Yelp, no Facebook, no directories. Where a dealership or contractor splits sales from service, the note names the service, parts or collision line, because that is the department that buys glass.</t>
        </is>
      </c>
    </row>
    <row r="11">
      <c r="B11" s="3" t="inlineStr">
        <is>
          <t>What the Phone Confidence column means</t>
        </is>
      </c>
    </row>
    <row r="12">
      <c r="B12" s="5" t="inlineStr">
        <is>
          <t>Corrected - use this number   The number on file was wrong. This one came off their own site.</t>
        </is>
      </c>
    </row>
    <row r="13">
      <c r="B13" s="5" t="inlineStr">
        <is>
          <t>Confirmed on company site     Matched against their own website and correct.</t>
        </is>
      </c>
    </row>
    <row r="14">
      <c r="B14" s="5" t="inlineStr">
        <is>
          <t>Not phone re-checked          Still queued for the re-check. The number may be fine - it just has not been re-read yet.</t>
        </is>
      </c>
    </row>
    <row r="15">
      <c r="B15" s="5" t="inlineStr">
        <is>
          <t>Unconfirmed - verify before calling   Their site publishes no number we could reach, so the number on file has no source. It is not proven wrong, just unproven. Check it before spending a call.</t>
        </is>
      </c>
    </row>
    <row r="16">
      <c r="B16" s="5" t="inlineStr">
        <is>
          <t>No phone on file              No number was ever found. Use the email or website.</t>
        </is>
      </c>
    </row>
    <row r="18">
      <c r="B18" s="3" t="inlineStr">
        <is>
          <t>How that column was derived</t>
        </is>
      </c>
    </row>
    <row r="19">
      <c r="B19" s="4" t="inlineStr">
        <is>
          <t>It is read from the wording of the Verification Notes, not entered by hand: notes saying UNCONFIRMED, UNSOURCED, FLAGGED or "relaxed rule" become Unconfirmed; PHONE CORRECTED / PHONE CHANGED / REVERTS become Corrected; RE-CONFIRMED, RE-CHECKED or OFFICIAL SITE become Confirmed; anything else is Not phone re-checked. The full note is kept in the last column so you can see the reasoning on any row.</t>
        </is>
      </c>
    </row>
    <row r="21">
      <c r="B21" s="3" t="inlineStr">
        <is>
          <t>Tabs</t>
        </is>
      </c>
    </row>
    <row r="22">
      <c r="B22" s="5" t="inlineStr">
        <is>
          <t>Call List        All 685 rows, sorted A-B-C then by confidence. Autofilter is on.</t>
        </is>
      </c>
    </row>
    <row r="23">
      <c r="B23" s="5" t="inlineStr">
        <is>
          <t>Verify First     Just the rows whose number has no source, so they can be checked in one pass.</t>
        </is>
      </c>
    </row>
    <row r="24">
      <c r="B24" s="5" t="inlineStr">
        <is>
          <t>Duplicates       Rows sharing a phone number - three are the same business twice and should be merged.</t>
        </is>
      </c>
    </row>
    <row r="25">
      <c r="B25" s="5" t="inlineStr">
        <is>
          <t>Summary          Counts, calculated live from the Call List.</t>
        </is>
      </c>
    </row>
    <row r="27">
      <c r="B27" s="3" t="inlineStr">
        <is>
          <t>Known limitation</t>
        </is>
      </c>
    </row>
    <row r="28">
      <c r="B28" s="4" t="inlineStr">
        <is>
          <t>The re-check is not finished. All A-priority rows are done; 293 B and C rows are still queued and appear as "Not phone re-checked". Their numbers came from the original build and earlier gap-fill work, so most are probably fine - they simply have not been re-read off the company site yet.</t>
        </is>
      </c>
    </row>
    <row r="30">
      <c r="B30" s="2" t="inlineStr">
        <is>
          <t>Source: leads/Hamilton_County_Auto_Glass_Leads_verified.xlsx, and leads/RESUME.md for the full audit trail.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38" customWidth="1" min="3" max="3"/>
    <col width="26" customWidth="1" min="4" max="4"/>
    <col width="17" customWidth="1" min="5" max="5"/>
    <col width="15" customWidth="1" min="6" max="6"/>
    <col width="30" customWidth="1" min="7" max="7"/>
    <col width="8" customWidth="1" min="8" max="8"/>
    <col width="30" customWidth="1" min="9" max="9"/>
    <col width="32" customWidth="1" min="10" max="10"/>
    <col width="12" customWidth="1" min="11" max="11"/>
    <col width="18" customWidth="1" min="12" max="12"/>
    <col width="22" customWidth="1" min="13" max="13"/>
    <col width="22" customWidth="1" min="14" max="14"/>
    <col width="120" customWidth="1" min="15" max="15"/>
  </cols>
  <sheetData>
    <row r="1" ht="30" customHeight="1">
      <c r="A1" s="6" t="inlineStr">
        <is>
          <t>Pri</t>
        </is>
      </c>
      <c r="B1" s="6" t="inlineStr">
        <is>
          <t>Phone Confidence</t>
        </is>
      </c>
      <c r="C1" s="6" t="inlineStr">
        <is>
          <t>Business Name</t>
        </is>
      </c>
      <c r="D1" s="6" t="inlineStr">
        <is>
          <t>Industry</t>
        </is>
      </c>
      <c r="E1" s="6" t="inlineStr">
        <is>
          <t>Phone</t>
        </is>
      </c>
      <c r="F1" s="6" t="inlineStr">
        <is>
          <t>City</t>
        </is>
      </c>
      <c r="G1" s="6" t="inlineStr">
        <is>
          <t>Physical Address</t>
        </is>
      </c>
      <c r="H1" s="6" t="inlineStr">
        <is>
          <t>ZIP</t>
        </is>
      </c>
      <c r="I1" s="6" t="inlineStr">
        <is>
          <t>Email</t>
        </is>
      </c>
      <c r="J1" s="6" t="inlineStr">
        <is>
          <t>Website</t>
        </is>
      </c>
      <c r="K1" s="6" t="inlineStr">
        <is>
          <t>Called</t>
        </is>
      </c>
      <c r="L1" s="6" t="inlineStr">
        <is>
          <t>Spoke to</t>
        </is>
      </c>
      <c r="M1" s="6" t="inlineStr">
        <is>
          <t>Outcome</t>
        </is>
      </c>
      <c r="N1" s="6" t="inlineStr">
        <is>
          <t>Follow-up</t>
        </is>
      </c>
      <c r="O1" s="6" t="inlineStr">
        <is>
          <t>What we found (notes)</t>
        </is>
      </c>
    </row>
    <row r="2">
      <c r="A2" s="7" t="inlineStr">
        <is>
          <t>A</t>
        </is>
      </c>
      <c r="B2" s="8" t="inlineStr">
        <is>
          <t>Corrected - use this number</t>
        </is>
      </c>
      <c r="C2" s="9" t="inlineStr">
        <is>
          <t>Averitt Express (Chattanooga Terminal)</t>
        </is>
      </c>
      <c r="D2" s="9" t="inlineStr">
        <is>
          <t>Trucking / Logistics</t>
        </is>
      </c>
      <c r="E2" s="9" t="inlineStr">
        <is>
          <t>(877) 339-3530</t>
        </is>
      </c>
      <c r="F2" s="9" t="inlineStr">
        <is>
          <t>Chattanooga</t>
        </is>
      </c>
      <c r="G2" s="9" t="inlineStr">
        <is>
          <t>2140 Chapman Rd</t>
        </is>
      </c>
      <c r="H2" s="9" t="inlineStr">
        <is>
          <t>37421</t>
        </is>
      </c>
      <c r="I2" s="9" t="n"/>
      <c r="J2" s="9" t="inlineStr">
        <is>
          <t>averitt.com</t>
        </is>
      </c>
      <c r="K2" s="10" t="n"/>
      <c r="L2" s="10" t="n"/>
      <c r="M2" s="10" t="n"/>
      <c r="N2" s="10" t="n"/>
      <c r="O2" s="9" t="inlineStr">
        <is>
          <t>PHONE CORRECTED 2026-09-04: sheet held the generic (800) 283-7488; their own Chattanooga location page publishes 1-877-339-3530 for 2140 Chapman Rd. Site is both a freight service centre and a warehouse/distribution facility, so tractors, trailers and yard equipment all sit here.</t>
        </is>
      </c>
    </row>
    <row r="3">
      <c r="A3" s="7" t="inlineStr">
        <is>
          <t>A</t>
        </is>
      </c>
      <c r="B3" s="8" t="inlineStr">
        <is>
          <t>Corrected - use this number</t>
        </is>
      </c>
      <c r="C3" s="9" t="inlineStr">
        <is>
          <t>Capital Toyota</t>
        </is>
      </c>
      <c r="D3" s="9" t="inlineStr">
        <is>
          <t>Auto Dealership</t>
        </is>
      </c>
      <c r="E3" s="9" t="inlineStr">
        <is>
          <t>(423) 498-7422</t>
        </is>
      </c>
      <c r="F3" s="9" t="inlineStr">
        <is>
          <t>Chattanooga</t>
        </is>
      </c>
      <c r="G3" s="9" t="inlineStr">
        <is>
          <t>5808 Lee Highway</t>
        </is>
      </c>
      <c r="H3" s="9" t="inlineStr">
        <is>
          <t>37421</t>
        </is>
      </c>
      <c r="I3" s="9" t="inlineStr">
        <is>
          <t>jtaylor@capitaltoyota.net</t>
        </is>
      </c>
      <c r="J3" s="9" t="inlineStr">
        <is>
          <t>capitaltoyota.com</t>
        </is>
      </c>
      <c r="K3" s="10" t="n"/>
      <c r="L3" s="10" t="n"/>
      <c r="M3" s="10" t="n"/>
      <c r="N3" s="10" t="n"/>
      <c r="O3" s="9" t="inlineStr">
        <is>
          <t>PHONE CORRECTED 2026-09-04. The row held (423) 892-0661, which their own site does not publish; sales is 423-498-7422. The number to actually ring is the COLLISION CENTRE on 423-490-0216 - a dealer body shop is a direct glass buyer. Service is 423-498-7425.</t>
        </is>
      </c>
    </row>
    <row r="4">
      <c r="A4" s="7" t="inlineStr">
        <is>
          <t>A</t>
        </is>
      </c>
      <c r="B4" s="8" t="inlineStr">
        <is>
          <t>Corrected - use this number</t>
        </is>
      </c>
      <c r="C4" s="9" t="inlineStr">
        <is>
          <t>Chattanooga Camper Sales</t>
        </is>
      </c>
      <c r="D4" s="9" t="inlineStr">
        <is>
          <t>RV Dealer</t>
        </is>
      </c>
      <c r="E4" s="9" t="inlineStr">
        <is>
          <t>(423) 427-6640</t>
        </is>
      </c>
      <c r="F4" s="9" t="inlineStr">
        <is>
          <t>East Ridge</t>
        </is>
      </c>
      <c r="G4" s="9" t="inlineStr">
        <is>
          <t>5911 Ringgold Rd</t>
        </is>
      </c>
      <c r="H4" s="9" t="inlineStr">
        <is>
          <t>37412</t>
        </is>
      </c>
      <c r="I4" s="9" t="inlineStr">
        <is>
          <t>chattanoogacampers@gmail.com</t>
        </is>
      </c>
      <c r="J4" s="9" t="inlineStr">
        <is>
          <t>chattanoogacampersales.com</t>
        </is>
      </c>
      <c r="K4" s="10" t="n"/>
      <c r="L4" s="10" t="n"/>
      <c r="M4" s="10" t="n"/>
      <c r="N4" s="10" t="n"/>
      <c r="O4" s="9" t="inlineStr">
        <is>
          <t>CORRECTED 2026-09-04: the row carried (423) 681-9095. Two separate searches of chattanoogacampersales.com return (423) 427-6640 for 5911 Ringgold Rd 37412, and neither surfaces the old number - corrected. Independent RV dealer; their service bay is the glass buyer, not the lot.</t>
        </is>
      </c>
    </row>
    <row r="5">
      <c r="A5" s="7" t="inlineStr">
        <is>
          <t>A</t>
        </is>
      </c>
      <c r="B5" s="8" t="inlineStr">
        <is>
          <t>Corrected - use this number</t>
        </is>
      </c>
      <c r="C5" s="9" t="inlineStr">
        <is>
          <t>Crown Chrysler Dodge Jeep Ram Fiat</t>
        </is>
      </c>
      <c r="D5" s="9" t="inlineStr">
        <is>
          <t>Auto Dealership</t>
        </is>
      </c>
      <c r="E5" s="9" t="inlineStr">
        <is>
          <t>(844) 371-6559</t>
        </is>
      </c>
      <c r="F5" s="9" t="inlineStr">
        <is>
          <t>Chattanooga</t>
        </is>
      </c>
      <c r="G5" s="9" t="inlineStr">
        <is>
          <t>2120 Chapman Road</t>
        </is>
      </c>
      <c r="H5" s="9" t="inlineStr">
        <is>
          <t>37421</t>
        </is>
      </c>
      <c r="I5" s="9" t="inlineStr">
        <is>
          <t>woverton@crowncars.com</t>
        </is>
      </c>
      <c r="J5" s="9" t="inlineStr">
        <is>
          <t>crowncarsofchattanooga.com</t>
        </is>
      </c>
      <c r="K5" s="10" t="n"/>
      <c r="L5" s="10" t="n"/>
      <c r="M5" s="10" t="n"/>
      <c r="N5" s="10" t="n"/>
      <c r="O5" s="9" t="inlineStr">
        <is>
          <t>PHONE CHANGED 2026-09-04. The row held (423) 295-9893, which their own site does not publish - it now lists only toll-free numbers. The old local number may still ring, so try it if the 844 line is slow. Service is 844-818-4429.</t>
        </is>
      </c>
    </row>
    <row r="6">
      <c r="A6" s="7" t="inlineStr">
        <is>
          <t>A</t>
        </is>
      </c>
      <c r="B6" s="8" t="inlineStr">
        <is>
          <t>Corrected - use this number</t>
        </is>
      </c>
      <c r="C6" s="9" t="inlineStr">
        <is>
          <t>Crown Subaru</t>
        </is>
      </c>
      <c r="D6" s="9" t="inlineStr">
        <is>
          <t>Subaru Dealership / Service Centre</t>
        </is>
      </c>
      <c r="E6" s="9" t="inlineStr">
        <is>
          <t>(423) 704-9039</t>
        </is>
      </c>
      <c r="F6" s="9" t="inlineStr">
        <is>
          <t>Chattanooga</t>
        </is>
      </c>
      <c r="G6" s="9" t="inlineStr">
        <is>
          <t>7700 Lee Highway</t>
        </is>
      </c>
      <c r="H6" s="9" t="inlineStr">
        <is>
          <t>37421</t>
        </is>
      </c>
      <c r="I6" s="9" t="n"/>
      <c r="J6" s="9" t="inlineStr">
        <is>
          <t>crownsubarutn.com</t>
        </is>
      </c>
      <c r="K6" s="10" t="n"/>
      <c r="L6" s="10" t="n"/>
      <c r="M6" s="10" t="n"/>
      <c r="N6" s="10" t="n"/>
      <c r="O6" s="9" t="inlineStr">
        <is>
          <t>CORRECTED 2026-09-04 TO THE SERVICE LINE. crownsubarutn.com publishes service (423) 704-9039 and parts (423) 704-9042 for 7700 Lee Highway 37421; the (423) 704-9035 that was on file appears nowhere on their site. Service is the department that buys glass, so it is now the number on the row - parts as backup. Both departments Mon-Fri 7:30-17:30, Sat 8:00-16:00. Dealership means a loaner fleet and courtesy shuttles as well as a service drive that turns down glass work it cannot do in-house. Their Meet Our Staff page is public if you want a name first.</t>
        </is>
      </c>
    </row>
    <row r="7">
      <c r="A7" s="7" t="inlineStr">
        <is>
          <t>A</t>
        </is>
      </c>
      <c r="B7" s="8" t="inlineStr">
        <is>
          <t>Corrected - use this number</t>
        </is>
      </c>
      <c r="C7" s="9" t="inlineStr">
        <is>
          <t>ECS Southeast, LLC</t>
        </is>
      </c>
      <c r="D7" s="9" t="inlineStr">
        <is>
          <t>Environmental / Geotechnical Testing</t>
        </is>
      </c>
      <c r="E7" s="9" t="inlineStr">
        <is>
          <t>(423) 874-9020</t>
        </is>
      </c>
      <c r="F7" s="9" t="inlineStr">
        <is>
          <t>Chattanooga</t>
        </is>
      </c>
      <c r="G7" s="9" t="inlineStr">
        <is>
          <t>3903 Volunteer Dr #100</t>
        </is>
      </c>
      <c r="H7" s="9" t="inlineStr">
        <is>
          <t>37416</t>
        </is>
      </c>
      <c r="I7" s="9" t="n"/>
      <c r="J7" s="9" t="inlineStr">
        <is>
          <t>ecslimited.com/locations/ecs-southeast-llc-chattanooga-tn</t>
        </is>
      </c>
      <c r="K7" s="10" t="n"/>
      <c r="L7" s="10" t="n"/>
      <c r="M7" s="10" t="n"/>
      <c r="N7" s="10" t="n"/>
      <c r="O7" s="9" t="inlineStr">
        <is>
          <t>CORRECTED 2026-09-04: the row carried (615) 885-4983, a NASHVILLE-area number. ecslimited.com's own Chattanooga page publishes (423) 874-9020 for 3903 Volunteer Dr #100, 37416 - corrected. Worth noting this address is the same Volunteer Dr building as Landscape Workshop at row 128, different suite. Geotechnical and construction-materials testing with field crews in trucks.</t>
        </is>
      </c>
    </row>
    <row r="8">
      <c r="A8" s="7" t="inlineStr">
        <is>
          <t>A</t>
        </is>
      </c>
      <c r="B8" s="8" t="inlineStr">
        <is>
          <t>Corrected - use this number</t>
        </is>
      </c>
      <c r="C8" s="9" t="inlineStr">
        <is>
          <t>Hamilton County Schools - Transportation Department</t>
        </is>
      </c>
      <c r="D8" s="9" t="inlineStr">
        <is>
          <t>K-12 School Transportation</t>
        </is>
      </c>
      <c r="E8" s="9" t="inlineStr">
        <is>
          <t>(423) 498-5555</t>
        </is>
      </c>
      <c r="F8" s="9" t="inlineStr">
        <is>
          <t>Chattanooga</t>
        </is>
      </c>
      <c r="G8" s="9" t="inlineStr">
        <is>
          <t>3074 Claude Ramsey Pkwy</t>
        </is>
      </c>
      <c r="H8" s="9" t="inlineStr">
        <is>
          <t>37421</t>
        </is>
      </c>
      <c r="I8" s="9" t="inlineStr">
        <is>
          <t>hcscommunications@hcde.org</t>
        </is>
      </c>
      <c r="J8" s="9" t="inlineStr">
        <is>
          <t>hcde.org</t>
        </is>
      </c>
      <c r="K8" s="10" t="n"/>
      <c r="L8" s="10" t="n"/>
      <c r="M8" s="10" t="n"/>
      <c r="N8" s="10" t="n"/>
      <c r="O8" s="9" t="inlineStr">
        <is>
          <t>PHONE CORRECTED 2026-09-04: sheet held the district switchboard (423) 498-7020; their own Bus Information page publishes a dedicated Transportation Hotline, 423-498-5555, which reaches the department that actually runs the buses. District address 3074 Claude Ramsey Pkwy confirmed; switchboard (423) 498-7020 still valid as a fallback. Note First Student (row 63) is contracted for part of this fleet, so ask who owns the buses before quoting.</t>
        </is>
      </c>
    </row>
    <row r="9">
      <c r="A9" s="7" t="inlineStr">
        <is>
          <t>A</t>
        </is>
      </c>
      <c r="B9" s="8" t="inlineStr">
        <is>
          <t>Corrected - use this number</t>
        </is>
      </c>
      <c r="C9" s="9" t="inlineStr">
        <is>
          <t>Highway Environmental Response Solutions, LLC</t>
        </is>
      </c>
      <c r="D9" s="9" t="inlineStr">
        <is>
          <t>Liquid &amp; Non-Hazardous Waste Management</t>
        </is>
      </c>
      <c r="E9" s="9" t="inlineStr">
        <is>
          <t>(423) 629-2714</t>
        </is>
      </c>
      <c r="F9" s="9" t="inlineStr">
        <is>
          <t>Chattanooga</t>
        </is>
      </c>
      <c r="G9" s="9" t="inlineStr">
        <is>
          <t>3900 N Hawthorne St</t>
        </is>
      </c>
      <c r="H9" s="9" t="inlineStr">
        <is>
          <t>37406</t>
        </is>
      </c>
      <c r="I9" s="9" t="inlineStr">
        <is>
          <t>support@highwayenv.com</t>
        </is>
      </c>
      <c r="J9" s="9" t="inlineStr">
        <is>
          <t>highwayenv.com</t>
        </is>
      </c>
      <c r="K9" s="10" t="n"/>
      <c r="L9" s="10" t="n"/>
      <c r="M9" s="10" t="n"/>
      <c r="N9" s="10" t="n"/>
      <c r="O9" s="9" t="inlineStr">
        <is>
          <t>CORRECTED 2026-09-04 - THE ROW HAD THE KNOXVILLE NUMBER. highwayenv.com publishes (423) 629-2714 with 3900 N. Hawthorne St, Chattanooga 37406 for the CHATTANOOGA operation, and lists the (423) 301-5449 that was on file as their KNOXVILLE line. Phone, address and ZIP all corrected; keep 301-5449 for the Knoxville yard. Their published call window is narrow - 09:00-12:00 daily, with a 24-hour callback promise - so ring in the morning. Non-hazardous liquid waste across east Tennessee: grease traps, wastewater, municipal sludge, leachate management and lift-station maintenance. Vacuum tankers running the length of the state. support@highwayenv.com holds.</t>
        </is>
      </c>
    </row>
    <row r="10">
      <c r="A10" s="7" t="inlineStr">
        <is>
          <t>A</t>
        </is>
      </c>
      <c r="B10" s="8" t="inlineStr">
        <is>
          <t>Corrected - use this number</t>
        </is>
      </c>
      <c r="C10" s="9" t="inlineStr">
        <is>
          <t>Impact Facility Solutions LLC</t>
        </is>
      </c>
      <c r="D10" s="9" t="inlineStr">
        <is>
          <t>Property Maintenance</t>
        </is>
      </c>
      <c r="E10" s="9" t="inlineStr">
        <is>
          <t>(423) 645-0830</t>
        </is>
      </c>
      <c r="F10" s="9" t="inlineStr">
        <is>
          <t>Chattanooga</t>
        </is>
      </c>
      <c r="G10" s="9" t="inlineStr">
        <is>
          <t>832 Georgia Ave Ste 345</t>
        </is>
      </c>
      <c r="H10" s="9" t="inlineStr">
        <is>
          <t>37402</t>
        </is>
      </c>
      <c r="I10" s="9" t="inlineStr">
        <is>
          <t>craig@impactfacilitysolutions.com</t>
        </is>
      </c>
      <c r="J10" s="9" t="inlineStr">
        <is>
          <t>impactfacilitysolutions.com</t>
        </is>
      </c>
      <c r="K10" s="10" t="n"/>
      <c r="L10" s="10" t="n"/>
      <c r="M10" s="10" t="n"/>
      <c r="N10" s="10" t="n"/>
      <c r="O10" s="9" t="inlineStr">
        <is>
          <t>PHONE RE-CHECK 2026-09-04 - REVERTS THE 2026-09-03 CORRECTION. Two separate searches of impactfacilitysolutions.com both return (423) 645-0830 as the published number, and neither surfaces the 423-415-1045 that was written in on 2026-09-03 off a chamber listing. Their own site is the better source, so the number is restored to 423-645-0830; keep 423-415-1045 as a fallback to try. NAMED CONTACT: Craig Richard, owner (craig@impactfacilitysolutions.com). Commercial janitorial plus landscaping, window cleaning, pressure washing and lot striping, serving Chattanooga out to Dunlap, Dalton, Cleveland and LaFayette - a multi-crew van and truck fleet.</t>
        </is>
      </c>
    </row>
    <row r="11">
      <c r="A11" s="7" t="inlineStr">
        <is>
          <t>A</t>
        </is>
      </c>
      <c r="B11" s="8" t="inlineStr">
        <is>
          <t>Corrected - use this number</t>
        </is>
      </c>
      <c r="C11" s="9" t="inlineStr">
        <is>
          <t>K &amp; K Waste Disposal</t>
        </is>
      </c>
      <c r="D11" s="9" t="inlineStr">
        <is>
          <t>Waste Disposal / Roll-Off Dumpsters</t>
        </is>
      </c>
      <c r="E11" s="9" t="inlineStr">
        <is>
          <t>(423) 225-1621</t>
        </is>
      </c>
      <c r="F11" s="9" t="inlineStr">
        <is>
          <t>Hixson</t>
        </is>
      </c>
      <c r="G11" s="9" t="inlineStr">
        <is>
          <t>5408 Dayton Boulevard</t>
        </is>
      </c>
      <c r="H11" s="9" t="inlineStr">
        <is>
          <t>37343</t>
        </is>
      </c>
      <c r="I11" s="9" t="n"/>
      <c r="J11" s="9" t="inlineStr">
        <is>
          <t>kkwaste.com</t>
        </is>
      </c>
      <c r="K11" s="10" t="n"/>
      <c r="L11" s="10" t="n"/>
      <c r="M11" s="10" t="n"/>
      <c r="N11" s="10" t="n"/>
      <c r="O11" s="9" t="inlineStr">
        <is>
          <t>PHONE CORRECTED 2026-09-04. Directory listings offer (423) 877-4002, which their own site does not give; the site publishes (423) 225-1621 and (423) 241-6290. Roll-off and junk removal trucks working Hamilton, Marion and north Georgia. Their site is oriented to Marion County/Jasper as well, so they cover a wide area.</t>
        </is>
      </c>
    </row>
    <row r="12">
      <c r="A12" s="7" t="inlineStr">
        <is>
          <t>A</t>
        </is>
      </c>
      <c r="B12" s="8" t="inlineStr">
        <is>
          <t>Corrected - use this number</t>
        </is>
      </c>
      <c r="C12" s="9" t="inlineStr">
        <is>
          <t>Long Hyundai</t>
        </is>
      </c>
      <c r="D12" s="9" t="inlineStr">
        <is>
          <t>Auto Dealership</t>
        </is>
      </c>
      <c r="E12" s="9" t="inlineStr">
        <is>
          <t>(423) 855-5664</t>
        </is>
      </c>
      <c r="F12" s="9" t="inlineStr">
        <is>
          <t>Chattanooga</t>
        </is>
      </c>
      <c r="G12" s="9" t="inlineStr">
        <is>
          <t>6035 International Drive</t>
        </is>
      </c>
      <c r="H12" s="9" t="inlineStr">
        <is>
          <t>37421</t>
        </is>
      </c>
      <c r="I12" s="9" t="n"/>
      <c r="J12" s="9" t="inlineStr">
        <is>
          <t>long-hyundai.com</t>
        </is>
      </c>
      <c r="K12" s="10" t="n"/>
      <c r="L12" s="10" t="n"/>
      <c r="M12" s="10" t="n"/>
      <c r="N12" s="10" t="n"/>
      <c r="O12" s="9" t="inlineStr">
        <is>
          <t>PHONE CORRECTED 2026-09-04, and the error is worth knowing about. The row held (423) 855-3726 - which is actually the MERCEDES-BENZ AT LONG general line, sitting in the next row down. The two Long dealerships had the same number copied across. Long Hyundai's own site gives sales 423-228-7346 and service 423-855-5664; the service line is recorded here because that is the glass buyer.</t>
        </is>
      </c>
    </row>
    <row r="13">
      <c r="A13" s="7" t="inlineStr">
        <is>
          <t>A</t>
        </is>
      </c>
      <c r="B13" s="8" t="inlineStr">
        <is>
          <t>Corrected - use this number</t>
        </is>
      </c>
      <c r="C13" s="9" t="inlineStr">
        <is>
          <t>Material Handling, Inc. (Chattanooga)</t>
        </is>
      </c>
      <c r="D13" s="9" t="inlineStr">
        <is>
          <t>Forklift Dealer / Field Service</t>
        </is>
      </c>
      <c r="E13" s="9" t="inlineStr">
        <is>
          <t>(833) 277-9797</t>
        </is>
      </c>
      <c r="F13" s="9" t="inlineStr">
        <is>
          <t>Chattanooga</t>
        </is>
      </c>
      <c r="G13" s="9" t="inlineStr">
        <is>
          <t>1050 Stuart Street</t>
        </is>
      </c>
      <c r="H13" s="9" t="inlineStr">
        <is>
          <t>37406</t>
        </is>
      </c>
      <c r="I13" s="9" t="n"/>
      <c r="J13" s="9" t="inlineStr">
        <is>
          <t>mhiusa.net</t>
        </is>
      </c>
      <c r="K13" s="10" t="n"/>
      <c r="L13" s="10" t="n"/>
      <c r="M13" s="10" t="n"/>
      <c r="N13" s="10" t="n"/>
      <c r="O13" s="9" t="inlineStr">
        <is>
          <t>CORRECTED 2026-09-04: mhiusa.net's own Chattanooga branch page publishes (833) 277-9797 for 1050 Stuart Street 37406; the (423) 698-0264 on file appears nowhere on their site. Corrected to the published number, but keep the 423 as a direct line worth trying - a toll-free will land you in a queue, and you want the Chattanooga service manager. Branch of a multi-state dealer HQ'd in Dalton GA with Birmingham and Knoxville branches; the Chattanooga branch runs its own forklift service fleet.</t>
        </is>
      </c>
    </row>
    <row r="14">
      <c r="A14" s="7" t="inlineStr">
        <is>
          <t>A</t>
        </is>
      </c>
      <c r="B14" s="8" t="inlineStr">
        <is>
          <t>Corrected - use this number</t>
        </is>
      </c>
      <c r="C14" s="9" t="inlineStr">
        <is>
          <t>Rivermont Paint &amp; Body</t>
        </is>
      </c>
      <c r="D14" s="9" t="inlineStr">
        <is>
          <t>Collision Repair / Body Shop</t>
        </is>
      </c>
      <c r="E14" s="9" t="inlineStr">
        <is>
          <t>(423) 702-6722</t>
        </is>
      </c>
      <c r="F14" s="9" t="inlineStr">
        <is>
          <t>Chattanooga</t>
        </is>
      </c>
      <c r="G14" s="9" t="inlineStr">
        <is>
          <t>3405 Hixson Pike</t>
        </is>
      </c>
      <c r="H14" s="9" t="inlineStr">
        <is>
          <t>37415</t>
        </is>
      </c>
      <c r="I14" s="9" t="inlineStr">
        <is>
          <t>rivermontbodyshop@yahoo.com</t>
        </is>
      </c>
      <c r="J14" s="9" t="inlineStr">
        <is>
          <t>rivermontpaintandbody.com</t>
        </is>
      </c>
      <c r="K14" s="10" t="n"/>
      <c r="L14" s="10" t="n"/>
      <c r="M14" s="10" t="n"/>
      <c r="N14" s="10" t="n"/>
      <c r="O14" s="9" t="inlineStr">
        <is>
          <t>PHONE CORRECTED 2026-09-04: sheet held (423) 875-4112; their own site and contact page both publish 423-702-6722. Address 3405 Hixson Pike confirmed. Email rivermontbodyshop@yahoo.com retained. Independent body shop, no glass service of its own - good prospect.</t>
        </is>
      </c>
    </row>
    <row r="15">
      <c r="A15" s="7" t="inlineStr">
        <is>
          <t>A</t>
        </is>
      </c>
      <c r="B15" s="8" t="inlineStr">
        <is>
          <t>Corrected - use this number</t>
        </is>
      </c>
      <c r="C15" s="9" t="inlineStr">
        <is>
          <t>Southern Auto Care</t>
        </is>
      </c>
      <c r="D15" s="9" t="inlineStr">
        <is>
          <t>Auto Repair</t>
        </is>
      </c>
      <c r="E15" s="9" t="inlineStr">
        <is>
          <t>(423) 236-2863</t>
        </is>
      </c>
      <c r="F15" s="9" t="inlineStr">
        <is>
          <t>Collegedale</t>
        </is>
      </c>
      <c r="G15" s="9" t="inlineStr">
        <is>
          <t>Ledford Hall, 4961 Colcord Drive</t>
        </is>
      </c>
      <c r="H15" s="9" t="inlineStr">
        <is>
          <t>37315</t>
        </is>
      </c>
      <c r="I15" s="9" t="inlineStr">
        <is>
          <t>southernautocare@southern.edu</t>
        </is>
      </c>
      <c r="J15" s="9" t="inlineStr">
        <is>
          <t>southern.edu/academics/technology/techsalesandservice.html</t>
        </is>
      </c>
      <c r="K15" s="10" t="n"/>
      <c r="L15" s="10" t="n"/>
      <c r="M15" s="10" t="n"/>
      <c r="N15" s="10" t="n"/>
      <c r="O15" s="9" t="inlineStr">
        <is>
          <t>PHONE CORRECTED 2026-09-04. The row previously held (423) 719-4014, which the university's own page does not give; the correct line is (423) 236-2863, and they also take texts on 833.534.0845. Full-service shop on the Southern Adventist University campus, run by its Applied Technology programme but open to the public - so the fleet worth talking about is the university's, not the shop's.</t>
        </is>
      </c>
    </row>
    <row r="16">
      <c r="A16" s="7" t="inlineStr">
        <is>
          <t>A</t>
        </is>
      </c>
      <c r="B16" s="8" t="inlineStr">
        <is>
          <t>Corrected - use this number</t>
        </is>
      </c>
      <c r="C16" s="9" t="inlineStr">
        <is>
          <t>Two Men and a Truck Chattanooga</t>
        </is>
      </c>
      <c r="D16" s="9" t="inlineStr">
        <is>
          <t>Moving &amp; Freight</t>
        </is>
      </c>
      <c r="E16" s="9" t="inlineStr">
        <is>
          <t>(423) 201-4154</t>
        </is>
      </c>
      <c r="F16" s="9" t="inlineStr">
        <is>
          <t>Chattanooga</t>
        </is>
      </c>
      <c r="G16" s="9" t="inlineStr">
        <is>
          <t>4230 Benton Drive</t>
        </is>
      </c>
      <c r="H16" s="9" t="inlineStr">
        <is>
          <t>37406</t>
        </is>
      </c>
      <c r="I16" s="9" t="n"/>
      <c r="J16" s="9" t="inlineStr">
        <is>
          <t>twomenandatruck.com/movers/tn/chattanooga</t>
        </is>
      </c>
      <c r="K16" s="10" t="n"/>
      <c r="L16" s="10" t="n"/>
      <c r="M16" s="10" t="n"/>
      <c r="N16" s="10" t="n"/>
      <c r="O16" s="9" t="inlineStr">
        <is>
          <t>CORRECTED 2026-09-04. Address 4230 Benton Drive 37406 RE-CONFIRMED, so the 09-03 fixes hold (the record's rogexperts.com domain and Shallowford Road mailbox were both wrong). ON THE NUMBER: two searches of twomenandatruck.com never surfaced the (423) 893-3450 that was on file; what their own Chattanooga pages give is (423) 201-4154, so that is now the row's number - keep 893-3450 as a fallback to try, since franchise sites do rotate tracking numbers. National line is 877-720-0411. A yard full of box trucks doing local and long-distance runs daily. Their site has a Meet Your Chattanooga Moving Team page. No email; franchise quote form only.</t>
        </is>
      </c>
    </row>
    <row r="17">
      <c r="A17" s="7" t="inlineStr">
        <is>
          <t>A</t>
        </is>
      </c>
      <c r="B17" s="8" t="inlineStr">
        <is>
          <t>Corrected - use this number</t>
        </is>
      </c>
      <c r="C17" s="9" t="inlineStr">
        <is>
          <t>U.S. Xpress Enterprises</t>
        </is>
      </c>
      <c r="D17" s="9" t="inlineStr">
        <is>
          <t>Trucking (OTR Carrier)</t>
        </is>
      </c>
      <c r="E17" s="9" t="inlineStr">
        <is>
          <t>(866) 646-5886</t>
        </is>
      </c>
      <c r="F17" s="9" t="inlineStr">
        <is>
          <t>Chattanooga</t>
        </is>
      </c>
      <c r="G17" s="9" t="inlineStr">
        <is>
          <t>4080 Jenkins Rd</t>
        </is>
      </c>
      <c r="H17" s="9" t="inlineStr">
        <is>
          <t>37421</t>
        </is>
      </c>
      <c r="I17" s="9" t="n"/>
      <c r="J17" s="9" t="inlineStr">
        <is>
          <t>usxpress.com</t>
        </is>
      </c>
      <c r="K17" s="10" t="n"/>
      <c r="L17" s="10" t="n"/>
      <c r="M17" s="10" t="n"/>
      <c r="N17" s="10" t="n"/>
      <c r="O17" s="9" t="inlineStr">
        <is>
          <t>PHONE CHANGED 2026-09-04: sheet held (423) 510-3000; their own contact page now publishes only 866-646-5886. 4080 Jenkins Rd HQ confirmed. The old local switchboard may still work but is no longer published, so it is unverified. Major truckload carrier - approach the maintenance shop at Jenkins Rd rather than the corporate line.</t>
        </is>
      </c>
    </row>
    <row r="18">
      <c r="A18" s="7" t="inlineStr">
        <is>
          <t>A</t>
        </is>
      </c>
      <c r="B18" s="8" t="inlineStr">
        <is>
          <t>Corrected - use this number</t>
        </is>
      </c>
      <c r="C18" s="9" t="inlineStr">
        <is>
          <t>United Rentals</t>
        </is>
      </c>
      <c r="D18" s="9" t="inlineStr">
        <is>
          <t>Equipment Rental</t>
        </is>
      </c>
      <c r="E18" s="9" t="inlineStr">
        <is>
          <t>(423) 353-9270</t>
        </is>
      </c>
      <c r="F18" s="9" t="inlineStr">
        <is>
          <t>Chattanooga</t>
        </is>
      </c>
      <c r="G18" s="9" t="inlineStr">
        <is>
          <t>3611 Amnicola Hwy</t>
        </is>
      </c>
      <c r="H18" s="9" t="inlineStr">
        <is>
          <t>37406</t>
        </is>
      </c>
      <c r="I18" s="9" t="n"/>
      <c r="J18" s="9" t="inlineStr">
        <is>
          <t>unitedrentals.com</t>
        </is>
      </c>
      <c r="K18" s="10" t="n"/>
      <c r="L18" s="10" t="n"/>
      <c r="M18" s="10" t="n"/>
      <c r="N18" s="10" t="n"/>
      <c r="O18" s="9" t="inlineStr">
        <is>
          <t>ADDRESS AND PHONE BOTH CORRECTED 2026-09-04. The 6114 Airways Blvd address and (423) 899-2911 previously on file were WRONG - United Rentals has no Airways Blvd branch in Chattanooga (that address belongs to a branch in Jackson TN). Their own site lists two Chattanooga branches: 3611 Amnicola Hwy 37406, 423-353-9270 (branch L69, now recorded here) and 4001 Industry Dr 37416, 423-624-4000 (branch C70) - the second is a separate unworked prospect. A third United Rentals unit, Flooring &amp; Facility Solutions, shares the Amnicola yard on 423-376-1893.</t>
        </is>
      </c>
    </row>
    <row r="19">
      <c r="A19" s="7" t="inlineStr">
        <is>
          <t>A</t>
        </is>
      </c>
      <c r="B19" s="9" t="inlineStr">
        <is>
          <t>Confirmed on company site</t>
        </is>
      </c>
      <c r="C19" s="9" t="inlineStr">
        <is>
          <t>911 Junk Out TN</t>
        </is>
      </c>
      <c r="D19" s="9" t="inlineStr">
        <is>
          <t>Junk Removal / Dumpster Rental</t>
        </is>
      </c>
      <c r="E19" s="9" t="inlineStr">
        <is>
          <t>(423) 244-0848</t>
        </is>
      </c>
      <c r="F19" s="9" t="inlineStr">
        <is>
          <t>Ooltewah</t>
        </is>
      </c>
      <c r="G19" s="9" t="inlineStr">
        <is>
          <t>9163 Integra Preserve Ct Apt 228</t>
        </is>
      </c>
      <c r="H19" s="9" t="inlineStr">
        <is>
          <t>37363</t>
        </is>
      </c>
      <c r="I19" s="9" t="n"/>
      <c r="J19" s="9" t="inlineStr">
        <is>
          <t>tn911junkout.com</t>
        </is>
      </c>
      <c r="K19" s="10" t="n"/>
      <c r="L19" s="10" t="n"/>
      <c r="M19" s="10" t="n"/>
      <c r="N19" s="10" t="n"/>
      <c r="O19" s="9" t="inlineStr">
        <is>
          <t>OFFICIAL SITE 2026-09-04: phone (423) 244-0848 RE-CONFIRMED. ADDRESS FOUND where the row had none - but read it carefully: their contact page gives 9163 Integra Preserve Ct APT 228, OOLTEWAH 37363, an apartment, so this is a home-based operator and the row's Hixson city line was wrong. Still Hamilton County. Hours Mon-Thu 7:00-19:00, Fri 7:00-15:00, Sun 8:00-18:00, closed Sat. Serves Chattanooga, East Ridge, Ooltewah, Lookout Mountain, Red Bank, Fort Oglethorpe and Hixson. Email is obfuscated on the site, so phone is still the way in. Junk and dumpster trucks.</t>
        </is>
      </c>
    </row>
    <row r="20">
      <c r="A20" s="7" t="inlineStr">
        <is>
          <t>A</t>
        </is>
      </c>
      <c r="B20" s="9" t="inlineStr">
        <is>
          <t>Confirmed on company site</t>
        </is>
      </c>
      <c r="C20" s="9" t="inlineStr">
        <is>
          <t>A-1 Security Locksmith</t>
        </is>
      </c>
      <c r="D20" s="9" t="inlineStr">
        <is>
          <t>Locksmith (Mobile)</t>
        </is>
      </c>
      <c r="E20" s="9" t="inlineStr">
        <is>
          <t>(423) 870-9790</t>
        </is>
      </c>
      <c r="F20" s="9" t="inlineStr">
        <is>
          <t>Chattanooga</t>
        </is>
      </c>
      <c r="G20" s="9" t="inlineStr">
        <is>
          <t>3523 Hixson Pike</t>
        </is>
      </c>
      <c r="H20" s="9" t="inlineStr">
        <is>
          <t>37415</t>
        </is>
      </c>
      <c r="I20" s="9" t="inlineStr">
        <is>
          <t>info@cprestoration.net</t>
        </is>
      </c>
      <c r="J20" s="9" t="inlineStr">
        <is>
          <t>a1securitylocksmithtn.com</t>
        </is>
      </c>
      <c r="K20" s="10" t="n"/>
      <c r="L20" s="10" t="n"/>
      <c r="M20" s="10" t="n"/>
      <c r="N20" s="10" t="n"/>
      <c r="O20" s="9" t="inlineStr">
        <is>
          <t>OFFICIAL SITE 2026-09-04: phone (423) 870-9790 RE-CONFIRMED - it runs in their own contact-page title. Address 3523 Hixson Pike 37415 confirmed; 42+ years in business, same-day and 24/7 mobile service, with a standalone auto-lock services page. CAUTION STANDS: the email they publish is info@cprestoration.net, a different company's domain - verify it on the call before using it.</t>
        </is>
      </c>
    </row>
    <row r="21">
      <c r="A21" s="7" t="inlineStr">
        <is>
          <t>A</t>
        </is>
      </c>
      <c r="B21" s="9" t="inlineStr">
        <is>
          <t>Confirmed on company site</t>
        </is>
      </c>
      <c r="C21" s="9" t="inlineStr">
        <is>
          <t>Action Air</t>
        </is>
      </c>
      <c r="D21" s="9" t="inlineStr">
        <is>
          <t>HVAC</t>
        </is>
      </c>
      <c r="E21" s="9" t="inlineStr">
        <is>
          <t>(423) 842-5575</t>
        </is>
      </c>
      <c r="F21" s="9" t="inlineStr">
        <is>
          <t>Hixson</t>
        </is>
      </c>
      <c r="G21" s="9" t="inlineStr">
        <is>
          <t>7605 Hixson Pike</t>
        </is>
      </c>
      <c r="H21" s="9" t="inlineStr">
        <is>
          <t>37343</t>
        </is>
      </c>
      <c r="I21" s="9" t="inlineStr">
        <is>
          <t>Service@CallActionAir.com</t>
        </is>
      </c>
      <c r="J21" s="9" t="inlineStr">
        <is>
          <t>callactionairtoday.com</t>
        </is>
      </c>
      <c r="K21" s="10" t="n"/>
      <c r="L21" s="10" t="n"/>
      <c r="M21" s="10" t="n"/>
      <c r="N21" s="10" t="n"/>
      <c r="O21" s="9" t="inlineStr">
        <is>
          <t>OFFICIAL SITE 2026-09-04: phone (423) 842-5575 RE-CONFIRMED, address 7605 Hixson Pike 37343 confirmed, hours Mon-Fri 8:00-17:00, closed weekends. EMAIL FOUND where the row had none: Service@CallActionAir.com - note the domain is callactionair.com, not the callactionairtoday.com in the Website column, so both are theirs. They also publish a text line, 423-303-9088, and fax 423-843-3090. Commercial heating and cooling for Chattanooga businesses for 25+ years alongside the residential side - the commercial division is the bigger van fleet.</t>
        </is>
      </c>
    </row>
    <row r="22">
      <c r="A22" s="7" t="inlineStr">
        <is>
          <t>A</t>
        </is>
      </c>
      <c r="B22" s="9" t="inlineStr">
        <is>
          <t>Confirmed on company site</t>
        </is>
      </c>
      <c r="C22" s="9" t="inlineStr">
        <is>
          <t>Acura of Chattanooga</t>
        </is>
      </c>
      <c r="D22" s="9" t="inlineStr">
        <is>
          <t>Auto Dealership</t>
        </is>
      </c>
      <c r="E22" s="9" t="inlineStr">
        <is>
          <t>(423) 855-5454</t>
        </is>
      </c>
      <c r="F22" s="9" t="inlineStr">
        <is>
          <t>Chattanooga</t>
        </is>
      </c>
      <c r="G22" s="9" t="inlineStr">
        <is>
          <t>2131 Chapman Road</t>
        </is>
      </c>
      <c r="H22" s="9" t="inlineStr">
        <is>
          <t>37421</t>
        </is>
      </c>
      <c r="I22" s="9" t="n"/>
      <c r="J22" s="9" t="inlineStr">
        <is>
          <t>acuraofchattanooga.com</t>
        </is>
      </c>
      <c r="K22" s="10" t="n"/>
      <c r="L22" s="10" t="n"/>
      <c r="M22" s="10" t="n"/>
      <c r="N22" s="10" t="n"/>
      <c r="O22" s="9" t="inlineStr">
        <is>
          <t>Phone re-checked 2026-09-04 against their own site - unchanged and correct, and it is already the service line rather than sales, which is the right door. Family owned.</t>
        </is>
      </c>
    </row>
    <row r="23">
      <c r="A23" s="7" t="inlineStr">
        <is>
          <t>A</t>
        </is>
      </c>
      <c r="B23" s="9" t="inlineStr">
        <is>
          <t>Confirmed on company site</t>
        </is>
      </c>
      <c r="C23" s="9" t="inlineStr">
        <is>
          <t>Advanced Collision Inc.</t>
        </is>
      </c>
      <c r="D23" s="9" t="inlineStr">
        <is>
          <t>Collision Repair / Body Shop</t>
        </is>
      </c>
      <c r="E23" s="9" t="inlineStr">
        <is>
          <t>(423) 485-3588</t>
        </is>
      </c>
      <c r="F23" s="9" t="inlineStr">
        <is>
          <t>Chattanooga</t>
        </is>
      </c>
      <c r="G23" s="9" t="inlineStr">
        <is>
          <t>4134 Jersey Pike</t>
        </is>
      </c>
      <c r="H23" s="9" t="inlineStr">
        <is>
          <t>37421</t>
        </is>
      </c>
      <c r="I23" s="9" t="n"/>
      <c r="J23" s="9" t="inlineStr">
        <is>
          <t>advancedcollision.org</t>
        </is>
      </c>
      <c r="K23" s="10" t="n"/>
      <c r="L23" s="10" t="n"/>
      <c r="M23" s="10" t="n"/>
      <c r="N23" s="10" t="n"/>
      <c r="O23" s="9" t="inlineStr">
        <is>
          <t>Phone re-checked 2026-09-04 - unchanged and correct for the Jersey Pike shop. But see the Classic Collision rows: Advanced's Gunbarrel address and number are now also Classic Collision's, and Classic lists Jersey Pike too, so the two brands have merged or Advanced's shops have been acquired. Both do their own glass. Establish which brand actually runs each shop before spending time on either.</t>
        </is>
      </c>
    </row>
    <row r="24">
      <c r="A24" s="7" t="inlineStr">
        <is>
          <t>A</t>
        </is>
      </c>
      <c r="B24" s="9" t="inlineStr">
        <is>
          <t>Confirmed on company site</t>
        </is>
      </c>
      <c r="C24" s="9" t="inlineStr">
        <is>
          <t>Advanced Waste Management Systems, Inc. (AWM)</t>
        </is>
      </c>
      <c r="D24" s="9" t="inlineStr">
        <is>
          <t>Waste Management / Environmental Services</t>
        </is>
      </c>
      <c r="E24" s="9" t="inlineStr">
        <is>
          <t>(423) 843-2206</t>
        </is>
      </c>
      <c r="F24" s="9" t="inlineStr">
        <is>
          <t>Hixson</t>
        </is>
      </c>
      <c r="G24" s="9" t="inlineStr">
        <is>
          <t>6430 Hixson Pike</t>
        </is>
      </c>
      <c r="H24" s="9" t="inlineStr">
        <is>
          <t>37343</t>
        </is>
      </c>
      <c r="I24" s="9" t="n"/>
      <c r="J24" s="9" t="inlineStr">
        <is>
          <t>awm.net</t>
        </is>
      </c>
      <c r="K24" s="10" t="n"/>
      <c r="L24" s="10" t="n"/>
      <c r="M24" s="10" t="n"/>
      <c r="N24" s="10" t="n"/>
      <c r="O24" s="9" t="inlineStr">
        <is>
          <t>OFFICIAL SITE 2026-09-04: phone (423) 843-2206 RE-CONFIRMED - it appears on their contact page and in their own published PDF letterhead - and address 6430 Hixson Pike 37343 confirmed. Not a domestic hauler: they run ISO-14001 and ISO-50001 environmental and energy-management programmes and greenhouse-gas services for industrial clients, so the fleet serves manufacturing accounts. Right on Hixson Pike. No email published.</t>
        </is>
      </c>
    </row>
    <row r="25">
      <c r="A25" s="7" t="inlineStr">
        <is>
          <t>A</t>
        </is>
      </c>
      <c r="B25" s="9" t="inlineStr">
        <is>
          <t>Confirmed on company site</t>
        </is>
      </c>
      <c r="C25" s="9" t="inlineStr">
        <is>
          <t>Affinity Environmental Group</t>
        </is>
      </c>
      <c r="D25" s="9" t="inlineStr">
        <is>
          <t>Environmental Remediation &amp; Construction</t>
        </is>
      </c>
      <c r="E25" s="9" t="inlineStr">
        <is>
          <t>(423) 332-7077</t>
        </is>
      </c>
      <c r="F25" s="9" t="inlineStr">
        <is>
          <t>Soddy-Daisy</t>
        </is>
      </c>
      <c r="G25" s="9" t="inlineStr">
        <is>
          <t>9916 Walden Street</t>
        </is>
      </c>
      <c r="H25" s="9" t="inlineStr">
        <is>
          <t>37379</t>
        </is>
      </c>
      <c r="I25" s="9" t="n"/>
      <c r="J25" s="9" t="inlineStr">
        <is>
          <t>affinityenvironmental.com</t>
        </is>
      </c>
      <c r="K25" s="10" t="n"/>
      <c r="L25" s="10" t="n"/>
      <c r="M25" s="10" t="n"/>
      <c r="N25" s="10" t="n"/>
      <c r="O25" s="9" t="inlineStr">
        <is>
          <t>OFFICIAL SITE 2026-09-04: phone (423) 332-7077 and address 9916 Walden Street, Soddy-Daisy 37379 RE-CONFIRMED. THE FLEET IS BIGGER THAN THE 1-10 HEADCOUNT: their own service list runs asbestos removal, mould remediation, fire and smoke restoration, radon abatement, METHAMPHETAMINE LAB CLEANUP and CRIME SCENE work, plus Phase I/II site assessments AND separate commercial and residential construction arms. Containment gear and waste hauled in box trucks and trailers, with call-out work on top. No email published.</t>
        </is>
      </c>
    </row>
    <row r="26">
      <c r="A26" s="7" t="inlineStr">
        <is>
          <t>A</t>
        </is>
      </c>
      <c r="B26" s="9" t="inlineStr">
        <is>
          <t>Confirmed on company site</t>
        </is>
      </c>
      <c r="C26" s="9" t="inlineStr">
        <is>
          <t>AFS Foundation &amp; Waterproofing Specialists (Groundworks)</t>
        </is>
      </c>
      <c r="D26" s="9" t="inlineStr">
        <is>
          <t>Foundation Repair / Waterproofing</t>
        </is>
      </c>
      <c r="E26" s="9" t="inlineStr">
        <is>
          <t>(423) 212-8210</t>
        </is>
      </c>
      <c r="F26" s="9" t="inlineStr">
        <is>
          <t>Chattanooga</t>
        </is>
      </c>
      <c r="G26" s="9" t="inlineStr">
        <is>
          <t>806 N Holtzclaw Ave</t>
        </is>
      </c>
      <c r="H26" s="9" t="inlineStr">
        <is>
          <t>37404</t>
        </is>
      </c>
      <c r="I26" s="9" t="n"/>
      <c r="J26" s="9" t="inlineStr">
        <is>
          <t>afsrepair.com</t>
        </is>
      </c>
      <c r="K26" s="10" t="n"/>
      <c r="L26" s="10" t="n"/>
      <c r="M26" s="10" t="n"/>
      <c r="N26" s="10" t="n"/>
      <c r="O26" s="9" t="inlineStr">
        <is>
          <t>OFFICIAL SITE 2026-09-04: phone (423) 212-8210 RE-CONFIRMED on afsrepair.com's own Chattanooga branch page, address 806 N Holtzclaw Ave 37404 confirmed. Hours are long - Mon-Fri 7:00-23:00, Sat 8:00-23:00, Sun 10:00-23:00 - which means crew trucks out most of the day, every day. Part of the Groundworks group; foundation, crawl space, driveway and waterproofing crews across TN, AL and GA.</t>
        </is>
      </c>
    </row>
    <row r="27">
      <c r="A27" s="7" t="inlineStr">
        <is>
          <t>A</t>
        </is>
      </c>
      <c r="B27" s="9" t="inlineStr">
        <is>
          <t>Confirmed on company site</t>
        </is>
      </c>
      <c r="C27" s="9" t="inlineStr">
        <is>
          <t>Air Filtration Service</t>
        </is>
      </c>
      <c r="D27" s="9" t="inlineStr">
        <is>
          <t>Commercial &amp; Industrial Air Filtration</t>
        </is>
      </c>
      <c r="E27" s="9" t="inlineStr">
        <is>
          <t>(423) 624-8900</t>
        </is>
      </c>
      <c r="F27" s="9" t="inlineStr">
        <is>
          <t>Chattanooga</t>
        </is>
      </c>
      <c r="G27" s="9" t="inlineStr">
        <is>
          <t>2811 Dodson Ave</t>
        </is>
      </c>
      <c r="H27" s="9" t="inlineStr">
        <is>
          <t>37406</t>
        </is>
      </c>
      <c r="I27" s="9" t="n"/>
      <c r="J27" s="9" t="inlineStr">
        <is>
          <t>airfiltrationservice.com</t>
        </is>
      </c>
      <c r="K27" s="10" t="n"/>
      <c r="L27" s="10" t="n"/>
      <c r="M27" s="10" t="n"/>
      <c r="N27" s="10" t="n"/>
      <c r="O27" s="9" t="inlineStr">
        <is>
          <t>OFFICIAL SITE 2026-09-04: phone (423) 624-8900 RE-CONFIRMED on their own contact page, address 2811 Dodson Ave 37406 confirmed, hours Mon-Fri 8:00-16:00. Toll-free 888-499-4990. Chattanooga owned and operated, certified filtration techs doing commercial and industrial installs plus wholesale supply - install techs and delivery trucks, two sets of vehicles. WORTH NOTING: they run a PAINT BOOTH filters and services line, which puts them inside body shops - the same rooms where glass work happens. Email on the site is obfuscated, so phone is the way in.</t>
        </is>
      </c>
    </row>
    <row r="28">
      <c r="A28" s="7" t="inlineStr">
        <is>
          <t>A</t>
        </is>
      </c>
      <c r="B28" s="9" t="inlineStr">
        <is>
          <t>Confirmed on company site</t>
        </is>
      </c>
      <c r="C28" s="9" t="inlineStr">
        <is>
          <t>All Aboard USA, Inc.</t>
        </is>
      </c>
      <c r="D28" s="9" t="inlineStr">
        <is>
          <t>Motorcoach / Charter Bus Tours</t>
        </is>
      </c>
      <c r="E28" s="9" t="inlineStr">
        <is>
          <t>(423) 499-9977</t>
        </is>
      </c>
      <c r="F28" s="9" t="inlineStr">
        <is>
          <t>Chattanooga</t>
        </is>
      </c>
      <c r="G28" s="9" t="inlineStr">
        <is>
          <t>1400 Market Street</t>
        </is>
      </c>
      <c r="H28" s="9" t="inlineStr">
        <is>
          <t>37403</t>
        </is>
      </c>
      <c r="I28" s="9" t="n"/>
      <c r="J28" s="9" t="inlineStr">
        <is>
          <t>allaboardchatt.com</t>
        </is>
      </c>
      <c r="K28" s="10" t="n"/>
      <c r="L28" s="10" t="n"/>
      <c r="M28" s="10" t="n"/>
      <c r="N28" s="10" t="n"/>
      <c r="O28" s="9" t="inlineStr">
        <is>
          <t>OFFICIAL SITE 2026-09-04: phone (423) 499-9977 and 1400 Market Street 37403 RE-CONFIRMED on their own contact page - so the 09-03 decision to take the site's address over the Vibe dataset's Kanasita Drive holds. Toll-free 800-499-9877. ODDITY WORTH A LOOK: allaboardchatt.com's home page now renders as a New Zealand seniors-tour page while the interior /pages/ URLs are still the Chattanooga motorcoach company - the domain may be part-repurposed or sold, so confirm they still run coaches locally before quoting. Motorcoach windshields are big money if they do.</t>
        </is>
      </c>
    </row>
    <row r="29">
      <c r="A29" s="7" t="inlineStr">
        <is>
          <t>A</t>
        </is>
      </c>
      <c r="B29" s="9" t="inlineStr">
        <is>
          <t>Confirmed on company site</t>
        </is>
      </c>
      <c r="C29" s="9" t="inlineStr">
        <is>
          <t>All Out Moving &amp; Storage</t>
        </is>
      </c>
      <c r="D29" s="9" t="inlineStr">
        <is>
          <t>Moving</t>
        </is>
      </c>
      <c r="E29" s="9" t="inlineStr">
        <is>
          <t>(423) 716-3025</t>
        </is>
      </c>
      <c r="F29" s="9" t="inlineStr">
        <is>
          <t>Chattanooga</t>
        </is>
      </c>
      <c r="G29" s="9" t="inlineStr">
        <is>
          <t>1900 Daisy St</t>
        </is>
      </c>
      <c r="H29" s="9" t="inlineStr">
        <is>
          <t>37406</t>
        </is>
      </c>
      <c r="I29" s="9" t="inlineStr">
        <is>
          <t>info@alloutmoves.com</t>
        </is>
      </c>
      <c r="J29" s="9" t="inlineStr">
        <is>
          <t>alloutmoves.com</t>
        </is>
      </c>
      <c r="K29" s="10" t="n"/>
      <c r="L29" s="10" t="n"/>
      <c r="M29" s="10" t="n"/>
      <c r="N29" s="10" t="n"/>
      <c r="O29" s="9" t="inlineStr">
        <is>
          <t>OFFICIAL SITE: phone (423) 716-3025 and 1900 Daisy St RE-CONFIRMED 2026-09-04, and EMAIL FOUND (info@alloutmoves.com). Serves Chattanooga, Lakesite, Lookout Mountain and Chickamauga GA - the trucks run the whole metro.</t>
        </is>
      </c>
    </row>
    <row r="30">
      <c r="A30" s="7" t="inlineStr">
        <is>
          <t>A</t>
        </is>
      </c>
      <c r="B30" s="9" t="inlineStr">
        <is>
          <t>Confirmed on company site</t>
        </is>
      </c>
      <c r="C30" s="9" t="inlineStr">
        <is>
          <t>American Tow &amp; Recovery</t>
        </is>
      </c>
      <c r="D30" s="9" t="inlineStr">
        <is>
          <t>Towing</t>
        </is>
      </c>
      <c r="E30" s="9" t="inlineStr">
        <is>
          <t>(423) 760-1276</t>
        </is>
      </c>
      <c r="F30" s="9" t="inlineStr">
        <is>
          <t>Chattanooga</t>
        </is>
      </c>
      <c r="G30" s="9" t="inlineStr">
        <is>
          <t>5910 Shaw Ave</t>
        </is>
      </c>
      <c r="H30" s="9" t="inlineStr">
        <is>
          <t>37421</t>
        </is>
      </c>
      <c r="I30" s="9" t="inlineStr">
        <is>
          <t>dispatch.americantow1@gmail.com</t>
        </is>
      </c>
      <c r="J30" s="9" t="inlineStr">
        <is>
          <t>americantowingtn.com</t>
        </is>
      </c>
      <c r="K30" s="10" t="n"/>
      <c r="L30" s="10" t="n"/>
      <c r="M30" s="10" t="n"/>
      <c r="N30" s="10" t="n"/>
      <c r="O30" s="9" t="inlineStr">
        <is>
          <t>OFFICIAL SITE: phone (423) 760-1276 and 5910 Shaw Ave RE-CONFIRMED 2026-09-04, and EMAIL FOUND (dispatch.americantow1@gmail.com). Operates 24/7. Wrecker fleet works around the clock and takes windshield damage constantly - and they see wrecked customer vehicles before anyone else, so a referral arrangement is worth as much as their own fleet.</t>
        </is>
      </c>
    </row>
    <row r="31">
      <c r="A31" s="7" t="inlineStr">
        <is>
          <t>A</t>
        </is>
      </c>
      <c r="B31" s="9" t="inlineStr">
        <is>
          <t>Confirmed on company site</t>
        </is>
      </c>
      <c r="C31" s="9" t="inlineStr">
        <is>
          <t>APPALACHIAN LAND DESIGN INC.</t>
        </is>
      </c>
      <c r="D31" s="9" t="inlineStr">
        <is>
          <t>Landscaping / Land Management / Snow Removal</t>
        </is>
      </c>
      <c r="E31" s="9" t="inlineStr">
        <is>
          <t>(423) 605-9632</t>
        </is>
      </c>
      <c r="F31" s="9" t="inlineStr">
        <is>
          <t>Chattanooga</t>
        </is>
      </c>
      <c r="G31" s="9" t="n"/>
      <c r="H31" s="9" t="n"/>
      <c r="I31" s="9" t="n"/>
      <c r="J31" s="9" t="inlineStr">
        <is>
          <t>appalachianlanddesign.com</t>
        </is>
      </c>
      <c r="K31" s="10" t="n"/>
      <c r="L31" s="10" t="n"/>
      <c r="M31" s="10" t="n"/>
      <c r="N31" s="10" t="n"/>
      <c r="O31" s="9" t="inlineStr">
        <is>
          <t>OFFICIAL SITE 2026-09-04: phone (423) 605-9632 RE-CONFIRMED - they run it in their own contact-page title. Owner Tyler Menne, 20+ years, degree in agriculture and plant science, certified LiveRoof installer. Residential and commercial: mowing, lawn maintenance, irrigation, mulching, sod, turf management, hardscapes, live green roofs, water harvesting AND SNOW PLOUGHING - plough trucks in winter and mowing trailers in summer means year-round road time. Only a PO Box published, no street address.</t>
        </is>
      </c>
    </row>
    <row r="32">
      <c r="A32" s="7" t="inlineStr">
        <is>
          <t>A</t>
        </is>
      </c>
      <c r="B32" s="9" t="inlineStr">
        <is>
          <t>Confirmed on company site</t>
        </is>
      </c>
      <c r="C32" s="9" t="inlineStr">
        <is>
          <t>Architectural Surfaces, LLC</t>
        </is>
      </c>
      <c r="D32" s="9" t="inlineStr">
        <is>
          <t>Stone &amp; Tile Slab Distribution</t>
        </is>
      </c>
      <c r="E32" s="9" t="inlineStr">
        <is>
          <t>(423) 899-6233</t>
        </is>
      </c>
      <c r="F32" s="9" t="inlineStr">
        <is>
          <t>Chattanooga</t>
        </is>
      </c>
      <c r="G32" s="9" t="inlineStr">
        <is>
          <t>4500 Amnicola Hwy</t>
        </is>
      </c>
      <c r="H32" s="9" t="inlineStr">
        <is>
          <t>37406</t>
        </is>
      </c>
      <c r="I32" s="9" t="inlineStr">
        <is>
          <t>info@architecturalsurfaces.com</t>
        </is>
      </c>
      <c r="J32" s="9" t="inlineStr">
        <is>
          <t>architecturalsurfaces.com</t>
        </is>
      </c>
      <c r="K32" s="10" t="n"/>
      <c r="L32" s="10" t="n"/>
      <c r="M32" s="10" t="n"/>
      <c r="N32" s="10" t="n"/>
      <c r="O32" s="9" t="inlineStr">
        <is>
          <t>ADDRESS CORRECTED 2026-09-04: phone (423) 899-6233 RE-CONFIRMED on architecturalsurfaces.com's own contact page, but that page gives the address as 4500 AMNICOLA HIGHWAY, 37406 - not the 405 E Main St 37408 on file. Corrected. Now trading as Architectural Surfaces: A MAG Company, so part of a larger group. Stone and tile slab distribution - heavy delivery trucks, and stone chips windshields.</t>
        </is>
      </c>
    </row>
    <row r="33">
      <c r="A33" s="7" t="inlineStr">
        <is>
          <t>A</t>
        </is>
      </c>
      <c r="B33" s="9" t="inlineStr">
        <is>
          <t>Confirmed on company site</t>
        </is>
      </c>
      <c r="C33" s="9" t="inlineStr">
        <is>
          <t>Armor Xteriors</t>
        </is>
      </c>
      <c r="D33" s="9" t="inlineStr">
        <is>
          <t>Roofing / Siding / Windows / Decks</t>
        </is>
      </c>
      <c r="E33" s="9" t="inlineStr">
        <is>
          <t>(423) 760-3333</t>
        </is>
      </c>
      <c r="F33" s="9" t="inlineStr">
        <is>
          <t>Chattanooga</t>
        </is>
      </c>
      <c r="G33" s="9" t="inlineStr">
        <is>
          <t>7401 E Brainerd Rd Ste 150</t>
        </is>
      </c>
      <c r="H33" s="9" t="inlineStr">
        <is>
          <t>37421</t>
        </is>
      </c>
      <c r="I33" s="9" t="n"/>
      <c r="J33" s="9" t="inlineStr">
        <is>
          <t>armorxteriors.com</t>
        </is>
      </c>
      <c r="K33" s="10" t="n"/>
      <c r="L33" s="10" t="n"/>
      <c r="M33" s="10" t="n"/>
      <c r="N33" s="10" t="n"/>
      <c r="O33" s="9" t="inlineStr">
        <is>
          <t>OFFICIAL SITE 2026-09-04: phone (423) 760-3333 RE-CONFIRMED, and ADDRESS FOUND where the row had none - armorxteriors.com's own location page gives 7401 E. Brainerd Rd Suite 150, Chattanooga 37421. Added. Locally owned general contractor doing roofing, siding, replacement windows, doors, gutters and custom decks - crews running loaded trucks and trailers daily. They also fit replacement windows, so they buy flat glass already, just not for vehicles.</t>
        </is>
      </c>
    </row>
    <row r="34">
      <c r="A34" s="7" t="inlineStr">
        <is>
          <t>A</t>
        </is>
      </c>
      <c r="B34" s="9" t="inlineStr">
        <is>
          <t>Confirmed on company site</t>
        </is>
      </c>
      <c r="C34" s="9" t="inlineStr">
        <is>
          <t>Armstrong Relocation (Ooltewah)</t>
        </is>
      </c>
      <c r="D34" s="9" t="inlineStr">
        <is>
          <t>Moving</t>
        </is>
      </c>
      <c r="E34" s="9" t="inlineStr">
        <is>
          <t>(423) 643-3720</t>
        </is>
      </c>
      <c r="F34" s="9" t="inlineStr">
        <is>
          <t>Ooltewah</t>
        </is>
      </c>
      <c r="G34" s="9" t="inlineStr">
        <is>
          <t>6059 Relocation Way</t>
        </is>
      </c>
      <c r="H34" s="9" t="inlineStr">
        <is>
          <t>37363</t>
        </is>
      </c>
      <c r="I34" s="9" t="n"/>
      <c r="J34" s="9" t="inlineStr">
        <is>
          <t>goarmstrong.com</t>
        </is>
      </c>
      <c r="K34" s="10" t="n"/>
      <c r="L34" s="10" t="n"/>
      <c r="M34" s="10" t="n"/>
      <c r="N34" s="10" t="n"/>
      <c r="O34" s="9" t="inlineStr">
        <is>
          <t>OFFICIAL SITE: phone (423) 643-3720 and 6059 Relocation Way, Ooltewah RE-CONFIRMED 2026-09-04. This is Armstrong's main office for the Chattanooga region; the former Crown WMS business is now part of Armstrong. Large tractor-trailer and straight-truck fleet.</t>
        </is>
      </c>
    </row>
    <row r="35">
      <c r="A35" s="7" t="inlineStr">
        <is>
          <t>A</t>
        </is>
      </c>
      <c r="B35" s="9" t="inlineStr">
        <is>
          <t>Confirmed on company site</t>
        </is>
      </c>
      <c r="C35" s="9" t="inlineStr">
        <is>
          <t>Arrow Exterminators - Chattanooga Service Center</t>
        </is>
      </c>
      <c r="D35" s="9" t="inlineStr">
        <is>
          <t>Pest Control</t>
        </is>
      </c>
      <c r="E35" s="9" t="inlineStr">
        <is>
          <t>(423) 629-7378</t>
        </is>
      </c>
      <c r="F35" s="9" t="inlineStr">
        <is>
          <t>Chattanooga</t>
        </is>
      </c>
      <c r="G35" s="9" t="inlineStr">
        <is>
          <t>3501 Amnicola Hwy</t>
        </is>
      </c>
      <c r="H35" s="9" t="inlineStr">
        <is>
          <t>37406</t>
        </is>
      </c>
      <c r="I35" s="9" t="n"/>
      <c r="J35" s="9" t="inlineStr">
        <is>
          <t>arrowexterminators.com</t>
        </is>
      </c>
      <c r="K35" s="10" t="n"/>
      <c r="L35" s="10" t="n"/>
      <c r="M35" s="10" t="n"/>
      <c r="N35" s="10" t="n"/>
      <c r="O35" s="9" t="inlineStr">
        <is>
          <t>OFFICIAL SITE 2026-09-04: phone (423) 629-7378 RE-CONFIRMED on arrowexterminators.com's own Chattanooga service-center page, address 3501 Amnicola Hwy 37406 confirmed. They run a separate commercial division page for the same service center - that is the side with the larger route-truck fleet.</t>
        </is>
      </c>
    </row>
    <row r="36">
      <c r="A36" s="7" t="inlineStr">
        <is>
          <t>A</t>
        </is>
      </c>
      <c r="B36" s="9" t="inlineStr">
        <is>
          <t>Confirmed on company site</t>
        </is>
      </c>
      <c r="C36" s="9" t="inlineStr">
        <is>
          <t>Atlas Bolt &amp; Supply Inc.</t>
        </is>
      </c>
      <c r="D36" s="9" t="inlineStr">
        <is>
          <t>Fastener &amp; Tool Supply</t>
        </is>
      </c>
      <c r="E36" s="9" t="inlineStr">
        <is>
          <t>(423) 265-2341</t>
        </is>
      </c>
      <c r="F36" s="9" t="inlineStr">
        <is>
          <t>Chattanooga</t>
        </is>
      </c>
      <c r="G36" s="9" t="inlineStr">
        <is>
          <t>3217 Rossville Blvd</t>
        </is>
      </c>
      <c r="H36" s="9" t="inlineStr">
        <is>
          <t>37407</t>
        </is>
      </c>
      <c r="I36" s="9" t="inlineStr">
        <is>
          <t>sales@atlasboltco.com</t>
        </is>
      </c>
      <c r="J36" s="9" t="inlineStr">
        <is>
          <t>atlasbolt.com</t>
        </is>
      </c>
      <c r="K36" s="10" t="n"/>
      <c r="L36" s="10" t="n"/>
      <c r="M36" s="10" t="n"/>
      <c r="N36" s="10" t="n"/>
      <c r="O36" s="9" t="inlineStr">
        <is>
          <t>OFFICIAL SITE 2026-09-04: phone (423) 265-2341 RE-CONFIRMED - but read this before dialling. A first search of atlasbolt.com returned 423-497-0463 instead; a second returned the 265-2341 on file. Two numbers off one domain, so ONE OF THEM IS STALE and 423-497-0463 is worth trying if the main line fails. Address 3217 Rossville Blvd 37407, sales@atlasboltco.com and hours Mon-Fri 7:00-16:30 all confirmed, plus 24/7 emergency service - the emergency line means after-hours running. 50+ years supplying fasteners, abrasives, tools and safety gear. Email domain atlasboltco.com differs from the website atlasbolt.com; both are theirs. Counter and delivery trucks.</t>
        </is>
      </c>
    </row>
    <row r="37">
      <c r="A37" s="7" t="inlineStr">
        <is>
          <t>A</t>
        </is>
      </c>
      <c r="B37" s="9" t="inlineStr">
        <is>
          <t>Confirmed on company site</t>
        </is>
      </c>
      <c r="C37" s="9" t="inlineStr">
        <is>
          <t>B &amp; B Crane and Rigging</t>
        </is>
      </c>
      <c r="D37" s="9" t="inlineStr">
        <is>
          <t>Crane Rental / Rigging</t>
        </is>
      </c>
      <c r="E37" s="9" t="inlineStr">
        <is>
          <t>(423) 842-4424</t>
        </is>
      </c>
      <c r="F37" s="9" t="inlineStr">
        <is>
          <t>Hixson</t>
        </is>
      </c>
      <c r="G37" s="9" t="inlineStr">
        <is>
          <t>1103 Thrasher Pike</t>
        </is>
      </c>
      <c r="H37" s="9" t="inlineStr">
        <is>
          <t>37343</t>
        </is>
      </c>
      <c r="I37" s="9" t="n"/>
      <c r="J37" s="9" t="inlineStr">
        <is>
          <t>bbcrane.com</t>
        </is>
      </c>
      <c r="K37" s="10" t="n"/>
      <c r="L37" s="10" t="n"/>
      <c r="M37" s="10" t="n"/>
      <c r="N37" s="10" t="n"/>
      <c r="O37" s="9" t="inlineStr">
        <is>
          <t>OFFICIAL SITE 2026-09-04: phone (423) 842-4424 RE-CONFIRMED on bbcrane.com's own Hixson page, with the 865-250-1618 main line confirmed as the OTHER branch's - they run two yards, Hixson TN and Mascot TN, covering Chattanooga and Knoxville, so use the 423 for this row. 24/7/365 with same-day quotes. Crane rental, Versa-Lift rental, indoor lifting, mobile taxi crane work and HVAC and electrical-transformer sets. CAUTION STANDS: the 1103 Thrasher Pike address came from the Vibe dataset, not their site, so confirm it on the call. Their site has an Our Team page worth mining for a named contact.</t>
        </is>
      </c>
    </row>
    <row r="38">
      <c r="A38" s="7" t="inlineStr">
        <is>
          <t>A</t>
        </is>
      </c>
      <c r="B38" s="9" t="inlineStr">
        <is>
          <t>Confirmed on company site</t>
        </is>
      </c>
      <c r="C38" s="9" t="inlineStr">
        <is>
          <t>Bella Pietra Surfaces International</t>
        </is>
      </c>
      <c r="D38" s="9" t="inlineStr">
        <is>
          <t>Stone &amp; Quartz Slab Supply / Fabrication</t>
        </is>
      </c>
      <c r="E38" s="9" t="inlineStr">
        <is>
          <t>(423) 800-5680</t>
        </is>
      </c>
      <c r="F38" s="9" t="inlineStr">
        <is>
          <t>Chattanooga</t>
        </is>
      </c>
      <c r="G38" s="9" t="inlineStr">
        <is>
          <t>1309 Appling Street</t>
        </is>
      </c>
      <c r="H38" s="9" t="inlineStr">
        <is>
          <t>37406</t>
        </is>
      </c>
      <c r="I38" s="9" t="inlineStr">
        <is>
          <t>office@bellapietrasurfaces.com</t>
        </is>
      </c>
      <c r="J38" s="9" t="inlineStr">
        <is>
          <t>bellapietrasurfaces.com</t>
        </is>
      </c>
      <c r="K38" s="10" t="n"/>
      <c r="L38" s="10" t="n"/>
      <c r="M38" s="10" t="n"/>
      <c r="N38" s="10" t="n"/>
      <c r="O38" s="9" t="inlineStr">
        <is>
          <t>OFFICIAL SITE 2026-09-04: phone (423) 800-5680, address 1309 Appling Street 37406 and office@bellapietrasurfaces.com ALL RE-CONFIRMED. NOTE: their home page currently serves a 'Coming Soon' placeholder while the interior product pages (quartz, granite, quartzite, marble) are live - a site mid-rebuild, not a dead business, but worth knowing before you judge them by the front page. Slab delivery is heavy-truck work and stone chips windshields - a good fit. Row 653, T Gene Edwards, shares this Appling Street address.</t>
        </is>
      </c>
    </row>
    <row r="39">
      <c r="A39" s="7" t="inlineStr">
        <is>
          <t>A</t>
        </is>
      </c>
      <c r="B39" s="9" t="inlineStr">
        <is>
          <t>Confirmed on company site</t>
        </is>
      </c>
      <c r="C39" s="9" t="inlineStr">
        <is>
          <t>Berry Construction</t>
        </is>
      </c>
      <c r="D39" s="9" t="inlineStr">
        <is>
          <t>Commercial General Contractor</t>
        </is>
      </c>
      <c r="E39" s="9" t="inlineStr">
        <is>
          <t>(423) 267-2234</t>
        </is>
      </c>
      <c r="F39" s="9" t="inlineStr">
        <is>
          <t>Chattanooga</t>
        </is>
      </c>
      <c r="G39" s="9" t="inlineStr">
        <is>
          <t>2525 Broad Street, Suite 103</t>
        </is>
      </c>
      <c r="H39" s="9" t="inlineStr">
        <is>
          <t>37408</t>
        </is>
      </c>
      <c r="I39" s="9" t="inlineStr">
        <is>
          <t>info@berryconstruction.net</t>
        </is>
      </c>
      <c r="J39" s="9" t="inlineStr">
        <is>
          <t>berryhutton.com</t>
        </is>
      </c>
      <c r="K39" s="10" t="n"/>
      <c r="L39" s="10" t="n"/>
      <c r="M39" s="10" t="n"/>
      <c r="N39" s="10" t="n"/>
      <c r="O39" s="9" t="inlineStr">
        <is>
          <t>OFFICIAL SITE 2026-09-04: phone (423) 267-2234, address 2525 Broad Street 37408 and info@berryconstruction.net ALL RE-CONFIRMED on berryhutton.com's own contact page; fax 423-267-3046. Trading name on the site is Berry Construction Company, Inc. Their project portfolio runs across Georgia and Louisiana as well as Tennessee, and they offer modular prefabrication - a genuinely multi-state GC, so superintendent trucks covering long distances. The website/email domain split (berryhutton.com vs berryconstruction.net) is real; both are theirs.</t>
        </is>
      </c>
    </row>
    <row r="40">
      <c r="A40" s="7" t="inlineStr">
        <is>
          <t>A</t>
        </is>
      </c>
      <c r="B40" s="9" t="inlineStr">
        <is>
          <t>Confirmed on company site</t>
        </is>
      </c>
      <c r="C40" s="9" t="inlineStr">
        <is>
          <t>Big Sky Landscapes</t>
        </is>
      </c>
      <c r="D40" s="9" t="inlineStr">
        <is>
          <t>Landscaping / Hardscaping / Irrigation</t>
        </is>
      </c>
      <c r="E40" s="9" t="inlineStr">
        <is>
          <t>(423) 488-8905</t>
        </is>
      </c>
      <c r="F40" s="9" t="inlineStr">
        <is>
          <t>Chattanooga</t>
        </is>
      </c>
      <c r="G40" s="9" t="inlineStr">
        <is>
          <t>1406 E 51st St</t>
        </is>
      </c>
      <c r="H40" s="9" t="inlineStr">
        <is>
          <t>37404</t>
        </is>
      </c>
      <c r="I40" s="9" t="n"/>
      <c r="J40" s="9" t="inlineStr">
        <is>
          <t>bigskylandscapes.com</t>
        </is>
      </c>
      <c r="K40" s="10" t="n"/>
      <c r="L40" s="10" t="n"/>
      <c r="M40" s="10" t="n"/>
      <c r="N40" s="10" t="n"/>
      <c r="O40" s="9" t="inlineStr">
        <is>
          <t>OFFICIAL SITE 2026-09-04: phone (423) 488-8905 and address 1406 E 51st St 37404 RE-CONFIRMED on their own contact page. Landscaping, hardscaping, irrigation and drainage, with separate commercial and residential arms (residential runs on its own subdomain) - so two crews' worth of trucks and trailers. Inc. 5000 growth means the fleet is still getting bigger. Their site has a Meet the Team page worth mining for a named contact; no email published.</t>
        </is>
      </c>
    </row>
    <row r="41">
      <c r="A41" s="7" t="inlineStr">
        <is>
          <t>A</t>
        </is>
      </c>
      <c r="B41" s="9" t="inlineStr">
        <is>
          <t>Confirmed on company site</t>
        </is>
      </c>
      <c r="C41" s="9" t="inlineStr">
        <is>
          <t>Blood Assurance</t>
        </is>
      </c>
      <c r="D41" s="9" t="inlineStr">
        <is>
          <t>Blood Bank / Mobile Blood Drive</t>
        </is>
      </c>
      <c r="E41" s="9" t="inlineStr">
        <is>
          <t>(423) 752-5940</t>
        </is>
      </c>
      <c r="F41" s="9" t="inlineStr">
        <is>
          <t>Chattanooga</t>
        </is>
      </c>
      <c r="G41" s="9" t="inlineStr">
        <is>
          <t>705 E 4th St</t>
        </is>
      </c>
      <c r="H41" s="9" t="inlineStr">
        <is>
          <t>37403</t>
        </is>
      </c>
      <c r="I41" s="9" t="n"/>
      <c r="J41" s="9" t="inlineStr">
        <is>
          <t>bloodassurance.org</t>
        </is>
      </c>
      <c r="K41" s="10" t="n"/>
      <c r="L41" s="10" t="n"/>
      <c r="M41" s="10" t="n"/>
      <c r="N41" s="10" t="n"/>
      <c r="O41" s="9" t="inlineStr">
        <is>
          <t>OFFICIAL SITE 2026-09-04: phone (423) 752-5940 RE-CONFIRMED as the donor-centre line on bloodassurance.org's own downtown Chattanooga page, address 705 E 4th St 37403-1916 confirmed - between 3rd and 4th across from UTC McKenzie Arena. Hours Mon-Fri 8:00-18:00, Sat 9:00-13:00; general line 1-800-962-0628. The mobile donor coaches running to blood drives are the fleet worth talking about. No email published, form only.</t>
        </is>
      </c>
    </row>
    <row r="42">
      <c r="A42" s="7" t="inlineStr">
        <is>
          <t>A</t>
        </is>
      </c>
      <c r="B42" s="9" t="inlineStr">
        <is>
          <t>Confirmed on company site</t>
        </is>
      </c>
      <c r="C42" s="9" t="inlineStr">
        <is>
          <t>Brown Bros. Inc.</t>
        </is>
      </c>
      <c r="D42" s="9" t="inlineStr">
        <is>
          <t>Utility Contractor / Civil Excavation</t>
        </is>
      </c>
      <c r="E42" s="9" t="inlineStr">
        <is>
          <t>(423) 893-9595</t>
        </is>
      </c>
      <c r="F42" s="9" t="inlineStr">
        <is>
          <t>Chattanooga</t>
        </is>
      </c>
      <c r="G42" s="9" t="inlineStr">
        <is>
          <t>6735 Ringgold Rd</t>
        </is>
      </c>
      <c r="H42" s="9" t="inlineStr">
        <is>
          <t>37412</t>
        </is>
      </c>
      <c r="I42" s="9" t="n"/>
      <c r="J42" s="9" t="inlineStr">
        <is>
          <t>brownbros.co</t>
        </is>
      </c>
      <c r="K42" s="10" t="n"/>
      <c r="L42" s="10" t="n"/>
      <c r="M42" s="10" t="n"/>
      <c r="N42" s="10" t="n"/>
      <c r="O42" s="9" t="inlineStr">
        <is>
          <t>OFFICIAL SITE: phone (423) 893-9595 and 6735 Ringgold Rd, East Ridge RE-CONFIRMED 2026-09-04. Civil construction and excavation with its own heavy-hauling division, working Chattanooga, Knoxville, Nashville, Birmingham, Dalton and Ringgold - so trucks and equipment carriers running long days on the highway.</t>
        </is>
      </c>
    </row>
    <row r="43">
      <c r="A43" s="7" t="inlineStr">
        <is>
          <t>A</t>
        </is>
      </c>
      <c r="B43" s="9" t="inlineStr">
        <is>
          <t>Confirmed on company site</t>
        </is>
      </c>
      <c r="C43" s="9" t="inlineStr">
        <is>
          <t>Building First Source</t>
        </is>
      </c>
      <c r="D43" s="9" t="inlineStr">
        <is>
          <t>Lumber Yard / Building Materials</t>
        </is>
      </c>
      <c r="E43" s="9" t="inlineStr">
        <is>
          <t>(423) 892-2444</t>
        </is>
      </c>
      <c r="F43" s="9" t="inlineStr">
        <is>
          <t>Chattanooga</t>
        </is>
      </c>
      <c r="G43" s="9" t="n"/>
      <c r="H43" s="9" t="n"/>
      <c r="I43" s="9" t="n"/>
      <c r="J43" s="9" t="inlineStr">
        <is>
          <t>bldr.com</t>
        </is>
      </c>
      <c r="K43" s="10" t="n"/>
      <c r="L43" s="10" t="n"/>
      <c r="M43" s="10" t="n"/>
      <c r="N43" s="10" t="n"/>
      <c r="O43" s="9" t="inlineStr">
        <is>
          <t>OFFICIAL SITE 2026-09-04: phone (423) 892-2444 RE-CONFIRMED on bldr.com's own Chattanooga lumber-yard page (branch code CHATTNYD). NAME STILL WRONG ON THE ROW: they trade as Builders FirstSource, not Building First Source - worth fixing. The yard runs lumber and building materials, doors and millwork, windows, a design centre and showroom, customer pickup and INSTALLATION services, serving Graysville, Collegedale, Apison, Lupton City and Ooltewah - boom trucks out to job sites all day. Their site publishes no street address for the yard. National chain, so the windshield decision may sit above the branch manager; ask who signs.</t>
        </is>
      </c>
    </row>
    <row r="44">
      <c r="A44" s="7" t="inlineStr">
        <is>
          <t>A</t>
        </is>
      </c>
      <c r="B44" s="9" t="inlineStr">
        <is>
          <t>Confirmed on company site</t>
        </is>
      </c>
      <c r="C44" s="9" t="inlineStr">
        <is>
          <t>Camping World Chattanooga</t>
        </is>
      </c>
      <c r="D44" s="9" t="inlineStr">
        <is>
          <t>RV Dealer / Service</t>
        </is>
      </c>
      <c r="E44" s="9" t="inlineStr">
        <is>
          <t>(877) 295-2202</t>
        </is>
      </c>
      <c r="F44" s="9" t="inlineStr">
        <is>
          <t>Chattanooga</t>
        </is>
      </c>
      <c r="G44" s="9" t="inlineStr">
        <is>
          <t>6728 Ringgold Rd</t>
        </is>
      </c>
      <c r="H44" s="9" t="inlineStr">
        <is>
          <t>37412</t>
        </is>
      </c>
      <c r="I44" s="9" t="n"/>
      <c r="J44" s="9" t="inlineStr">
        <is>
          <t>rv.campingworld.com/dealer/chattanooga-tennessee</t>
        </is>
      </c>
      <c r="K44" s="10" t="n"/>
      <c r="L44" s="10" t="n"/>
      <c r="M44" s="10" t="n"/>
      <c r="N44" s="10" t="n"/>
      <c r="O44" s="9" t="inlineStr">
        <is>
          <t>OFFICIAL SITE 2026-09-04: phone (877) 295-2202 RE-CONFIRMED on rv.campingworld.com's own Chattanooga dealer pages, address 6728 Ringgold Rd 37412-4230 confirmed. Only the toll-free is published. SERVICE IS THE WAY IN - this dealer runs separate RV service and repair, RV parts and installation, RV collision repair and mobile-service operations, all with their own pages; ask for service or collision, never the sales floor. The mobile-service unit is a van fleet in its own right.</t>
        </is>
      </c>
    </row>
    <row r="45">
      <c r="A45" s="7" t="inlineStr">
        <is>
          <t>A</t>
        </is>
      </c>
      <c r="B45" s="9" t="inlineStr">
        <is>
          <t>Confirmed on company site</t>
        </is>
      </c>
      <c r="C45" s="9" t="inlineStr">
        <is>
          <t>CARE MED AMBULANCE LLC</t>
        </is>
      </c>
      <c r="D45" s="9" t="inlineStr">
        <is>
          <t>Ambulance / Medical Transport</t>
        </is>
      </c>
      <c r="E45" s="9" t="inlineStr">
        <is>
          <t>(423) 498-3900</t>
        </is>
      </c>
      <c r="F45" s="9" t="inlineStr">
        <is>
          <t>Chattanooga</t>
        </is>
      </c>
      <c r="G45" s="9" t="inlineStr">
        <is>
          <t>2511 Riverside Drive</t>
        </is>
      </c>
      <c r="H45" s="9" t="inlineStr">
        <is>
          <t>37406</t>
        </is>
      </c>
      <c r="I45" s="9" t="inlineStr">
        <is>
          <t>info@caremedambulance.net</t>
        </is>
      </c>
      <c r="J45" s="9" t="inlineStr">
        <is>
          <t>caremedambulance.net</t>
        </is>
      </c>
      <c r="K45" s="10" t="n"/>
      <c r="L45" s="10" t="n"/>
      <c r="M45" s="10" t="n"/>
      <c r="N45" s="10" t="n"/>
      <c r="O45" s="9" t="inlineStr">
        <is>
          <t>OFFICIAL SITE 2026-09-04: phone (423) 498-3900, address 2511 Riverside Drive 37406 and info@caremedambulance.net ALL RE-CONFIRMED on their own contact page; fax 423-498-3901. Their about page was throwing a 'Website Temporary Unavailable' error at the time of checking - the contact page is fine, but do not be surprised by a half-broken site. Non-emergency medical transport: dialysis, chemo, inter-facility and wound-care runs, which means scheduled trips every weekday rather than sporadic call-outs. Every vehicle is a big flat windshield they cannot afford to have off the road - still one of the best prospects in the Vibe batch.</t>
        </is>
      </c>
    </row>
    <row r="46">
      <c r="A46" s="7" t="inlineStr">
        <is>
          <t>A</t>
        </is>
      </c>
      <c r="B46" s="9" t="inlineStr">
        <is>
          <t>Confirmed on company site</t>
        </is>
      </c>
      <c r="C46" s="9" t="inlineStr">
        <is>
          <t>CARTA (Chattanooga Area Regional Transportation Authority)</t>
        </is>
      </c>
      <c r="D46" s="9" t="inlineStr">
        <is>
          <t>Public Transportation</t>
        </is>
      </c>
      <c r="E46" s="9" t="inlineStr">
        <is>
          <t>(423) 629-1411</t>
        </is>
      </c>
      <c r="F46" s="9" t="inlineStr">
        <is>
          <t>Chattanooga</t>
        </is>
      </c>
      <c r="G46" s="9" t="inlineStr">
        <is>
          <t>1617 Wilcox Blvd</t>
        </is>
      </c>
      <c r="H46" s="9" t="inlineStr">
        <is>
          <t>37406</t>
        </is>
      </c>
      <c r="I46" s="9" t="n"/>
      <c r="J46" s="9" t="inlineStr">
        <is>
          <t>gocarta.org</t>
        </is>
      </c>
      <c r="K46" s="10" t="n"/>
      <c r="L46" s="10" t="n"/>
      <c r="M46" s="10" t="n"/>
      <c r="N46" s="10" t="n"/>
      <c r="O46" s="9" t="inlineStr">
        <is>
          <t>OFFICIAL SITE: phone (423) 629-1411 and 1617 Wilcox Blvd RE-CONFIRMED EXACTLY 2026-09-04. Admin offices Mon-Fri 8:00-17:00, fax 423-698-2749. They publish RFPs on their own site and run a Business Center page for vendors - transit-authority glass work is procured formally, so watch that page. Fleet includes buses, the Care-a-Van paratransit vans and the incline.</t>
        </is>
      </c>
    </row>
    <row r="47">
      <c r="A47" s="7" t="inlineStr">
        <is>
          <t>A</t>
        </is>
      </c>
      <c r="B47" s="9" t="inlineStr">
        <is>
          <t>Confirmed on company site</t>
        </is>
      </c>
      <c r="C47" s="9" t="inlineStr">
        <is>
          <t>Centurion Stone of Chattanooga</t>
        </is>
      </c>
      <c r="D47" s="9" t="inlineStr">
        <is>
          <t>Masonry Supply &amp; Installation (Stone, Brick, Stucco, EIFS)</t>
        </is>
      </c>
      <c r="E47" s="9" t="inlineStr">
        <is>
          <t>(423) 756-2700</t>
        </is>
      </c>
      <c r="F47" s="9" t="inlineStr">
        <is>
          <t>Chattanooga</t>
        </is>
      </c>
      <c r="G47" s="9" t="inlineStr">
        <is>
          <t>3758 Pilot Point</t>
        </is>
      </c>
      <c r="H47" s="9" t="inlineStr">
        <is>
          <t>37416</t>
        </is>
      </c>
      <c r="I47" s="9" t="inlineStr">
        <is>
          <t>welcome@turnkeymasonry.com</t>
        </is>
      </c>
      <c r="J47" s="9" t="inlineStr">
        <is>
          <t>centurionstoneofchatt.com</t>
        </is>
      </c>
      <c r="K47" s="10" t="n"/>
      <c r="L47" s="10" t="n"/>
      <c r="M47" s="10" t="n"/>
      <c r="N47" s="10" t="n"/>
      <c r="O47" s="9" t="inlineStr">
        <is>
          <t>OFFICIAL SITE 2026-09-04: phone (423) 756-2700, address 3758 Pilot Point 37416 and welcome@turnkeymasonry.com ALL RE-CONFIRMED on their own contact page. The turnkeymasonry.com email domain is confirmed as theirs - they trade under both names, so do not treat it as a mismatch. Manufactured stone, brick, stucco and EIFS: material delivery trucks plus install crews. Their site has an Our Team page worth mining for a named contact.</t>
        </is>
      </c>
    </row>
    <row r="48">
      <c r="A48" s="7" t="inlineStr">
        <is>
          <t>A</t>
        </is>
      </c>
      <c r="B48" s="9" t="inlineStr">
        <is>
          <t>Confirmed on company site</t>
        </is>
      </c>
      <c r="C48" s="9" t="inlineStr">
        <is>
          <t>Certified Maintenance Service, Inc.</t>
        </is>
      </c>
      <c r="D48" s="9" t="inlineStr">
        <is>
          <t>Commercial Janitorial Services</t>
        </is>
      </c>
      <c r="E48" s="9" t="inlineStr">
        <is>
          <t>(423) 622-8192</t>
        </is>
      </c>
      <c r="F48" s="9" t="inlineStr">
        <is>
          <t>Chattanooga</t>
        </is>
      </c>
      <c r="G48" s="9" t="inlineStr">
        <is>
          <t>1504 Merrill St, PO Box 9190</t>
        </is>
      </c>
      <c r="H48" s="9" t="inlineStr">
        <is>
          <t>37412</t>
        </is>
      </c>
      <c r="I48" s="9" t="inlineStr">
        <is>
          <t>guyharris@cms-clean.com</t>
        </is>
      </c>
      <c r="J48" s="9" t="inlineStr">
        <is>
          <t>cms-clean.com</t>
        </is>
      </c>
      <c r="K48" s="10" t="n"/>
      <c r="L48" s="10" t="n"/>
      <c r="M48" s="10" t="n"/>
      <c r="N48" s="10" t="n"/>
      <c r="O48" s="9" t="inlineStr">
        <is>
          <t>OFFICIAL SITE 2026-09-04: phone (423) 622-8192 and address 1504 Merrill Street / PO Box 9190, 37412 RE-CONFIRMED; fax (423) 622-9378. BIGGER THAN THE ROW SUGGESTS: their own site lists offices in Chattanooga, Knoxville, Nashville, Huntsville AL and Dalton GA, so nightly crews driving between accounts across five metros. Ask for Guy Harris, guyharris@cms-clean.com - the named address they publish.</t>
        </is>
      </c>
    </row>
    <row r="49">
      <c r="A49" s="7" t="inlineStr">
        <is>
          <t>A</t>
        </is>
      </c>
      <c r="B49" s="9" t="inlineStr">
        <is>
          <t>Confirmed on company site</t>
        </is>
      </c>
      <c r="C49" s="9" t="inlineStr">
        <is>
          <t>CH ROOFING LLC</t>
        </is>
      </c>
      <c r="D49" s="9" t="inlineStr">
        <is>
          <t>Roofing Contractor</t>
        </is>
      </c>
      <c r="E49" s="9" t="inlineStr">
        <is>
          <t>(423) 355-1091</t>
        </is>
      </c>
      <c r="F49" s="9" t="inlineStr">
        <is>
          <t>Chattanooga</t>
        </is>
      </c>
      <c r="G49" s="9" t="inlineStr">
        <is>
          <t>7618 Bishop Dr</t>
        </is>
      </c>
      <c r="H49" s="9" t="inlineStr">
        <is>
          <t>37416</t>
        </is>
      </c>
      <c r="I49" s="9" t="inlineStr">
        <is>
          <t>info@chroofingtn.com</t>
        </is>
      </c>
      <c r="J49" s="9" t="inlineStr">
        <is>
          <t>chroofingtn.com</t>
        </is>
      </c>
      <c r="K49" s="10" t="n"/>
      <c r="L49" s="10" t="n"/>
      <c r="M49" s="10" t="n"/>
      <c r="N49" s="10" t="n"/>
      <c r="O49" s="9" t="inlineStr">
        <is>
          <t>OFFICIAL SITE 2026-09-04: phone (423) 355-1091 and address 7618 Bishop Dr 37416 RE-CONFIRMED, hours Mon-Fri 8:00-18:00. They run 24/7 SAME-DAY EMERGENCY roof repair and an insurance/storm-damage claims practice, and their service area reaches South Pittsburg - storm chasing covers a lot of miles at short notice, which is exactly the wear you want to quote. Residential, retail and commercial roofing plus siding. Free inspections; se habla espanol.</t>
        </is>
      </c>
    </row>
    <row r="50">
      <c r="A50" s="7" t="inlineStr">
        <is>
          <t>A</t>
        </is>
      </c>
      <c r="B50" s="9" t="inlineStr">
        <is>
          <t>Confirmed on company site</t>
        </is>
      </c>
      <c r="C50" s="9" t="inlineStr">
        <is>
          <t>Chase Plumbing &amp; Mechanical Inc.</t>
        </is>
      </c>
      <c r="D50" s="9" t="inlineStr">
        <is>
          <t>Plumbing (Commercial/Industrial)</t>
        </is>
      </c>
      <c r="E50" s="9" t="inlineStr">
        <is>
          <t>(423) 899-7899</t>
        </is>
      </c>
      <c r="F50" s="9" t="inlineStr">
        <is>
          <t>Chattanooga</t>
        </is>
      </c>
      <c r="G50" s="9" t="inlineStr">
        <is>
          <t>6112 Airways Blvd</t>
        </is>
      </c>
      <c r="H50" s="9" t="inlineStr">
        <is>
          <t>37421</t>
        </is>
      </c>
      <c r="I50" s="9" t="inlineStr">
        <is>
          <t>josh@chaseplumbing.us</t>
        </is>
      </c>
      <c r="J50" s="9" t="inlineStr">
        <is>
          <t>chaseplumbinginc.com</t>
        </is>
      </c>
      <c r="K50" s="10" t="n"/>
      <c r="L50" s="10" t="n"/>
      <c r="M50" s="10" t="n"/>
      <c r="N50" s="10" t="n"/>
      <c r="O50" s="9" t="inlineStr">
        <is>
          <t>OFFICIAL SITE: phone (423) 899-7899 RE-CONFIRMED 2026-09-04. Commercial and industrial plumbing and HVAC, 25 years in business - a service-van fleet.</t>
        </is>
      </c>
    </row>
    <row r="51">
      <c r="A51" s="7" t="inlineStr">
        <is>
          <t>A</t>
        </is>
      </c>
      <c r="B51" s="9" t="inlineStr">
        <is>
          <t>Confirmed on company site</t>
        </is>
      </c>
      <c r="C51" s="9" t="inlineStr">
        <is>
          <t>Chattanooga Boiler &amp; Tank</t>
        </is>
      </c>
      <c r="D51" s="9" t="inlineStr">
        <is>
          <t>Steel Tank &amp; Vessel Fabrication / Field Erection</t>
        </is>
      </c>
      <c r="E51" s="9" t="inlineStr">
        <is>
          <t>(423) 266-7118</t>
        </is>
      </c>
      <c r="F51" s="9" t="inlineStr">
        <is>
          <t>Chattanooga</t>
        </is>
      </c>
      <c r="G51" s="9" t="inlineStr">
        <is>
          <t>1011 East Main Street</t>
        </is>
      </c>
      <c r="H51" s="9" t="inlineStr">
        <is>
          <t>37408</t>
        </is>
      </c>
      <c r="I51" s="9" t="n"/>
      <c r="J51" s="9" t="inlineStr">
        <is>
          <t>cbtank.com</t>
        </is>
      </c>
      <c r="K51" s="10" t="n"/>
      <c r="L51" s="10" t="n"/>
      <c r="M51" s="10" t="n"/>
      <c r="N51" s="10" t="n"/>
      <c r="O51" s="9" t="inlineStr">
        <is>
          <t>OFFICIAL SITE 2026-09-04: phone (423) 266-7118 RE-CONFIRMED, and a STREET ADDRESS FOUND where the row had only a PO Box - their contact page gives 1011 East Main Street, Chattanooga 37408, with PO Box 110 as the mailing address. Added. Fabricating tanks and vessels for over a century in stainless, carbon steel, duplex, nickel alloy, aluminium, hastelloy and inconel, serving power and metals-and-mining clients. FIELD ERECTION is the fleet: crews travelling with rigs and trailers to customer plants, plus a maintenance and repair division. The number reaches the Boiler &amp; Tanks sales department.</t>
        </is>
      </c>
    </row>
    <row r="52">
      <c r="A52" s="7" t="inlineStr">
        <is>
          <t>A</t>
        </is>
      </c>
      <c r="B52" s="9" t="inlineStr">
        <is>
          <t>Confirmed on company site</t>
        </is>
      </c>
      <c r="C52" s="9" t="inlineStr">
        <is>
          <t>Chattanooga Bus Company</t>
        </is>
      </c>
      <c r="D52" s="9" t="inlineStr">
        <is>
          <t>Bus Rental / Charter / Airport Shuttle</t>
        </is>
      </c>
      <c r="E52" s="9" t="inlineStr">
        <is>
          <t>(423) 800-6928</t>
        </is>
      </c>
      <c r="F52" s="9" t="inlineStr">
        <is>
          <t>Chattanooga</t>
        </is>
      </c>
      <c r="G52" s="9" t="inlineStr">
        <is>
          <t>2000 East 29th Street</t>
        </is>
      </c>
      <c r="H52" s="9" t="inlineStr">
        <is>
          <t>37407</t>
        </is>
      </c>
      <c r="I52" s="9" t="n"/>
      <c r="J52" s="9" t="inlineStr">
        <is>
          <t>chattbus.com</t>
        </is>
      </c>
      <c r="K52" s="10" t="n"/>
      <c r="L52" s="10" t="n"/>
      <c r="M52" s="10" t="n"/>
      <c r="N52" s="10" t="n"/>
      <c r="O52" s="9" t="inlineStr">
        <is>
          <t>OFFICIAL SITE 2026-09-04: phone (423) 800-6928 and address 2000 E 29th Street 37407 RE-CONFIRMED on their own contact page. CAUTION STANDS AND IS NOW CONFIRMED: they run a dedicated 'Bus Broker' page of their own, alongside private charter, corporate, school and airport-shuttle services - so ask straight out how many coaches they actually own versus broker. Bus glass is the highest-ticket work you can quote, but only on their own vehicles.</t>
        </is>
      </c>
    </row>
    <row r="53">
      <c r="A53" s="7" t="inlineStr">
        <is>
          <t>A</t>
        </is>
      </c>
      <c r="B53" s="9" t="inlineStr">
        <is>
          <t>Confirmed on company site</t>
        </is>
      </c>
      <c r="C53" s="9" t="inlineStr">
        <is>
          <t>CHATTANOOGA DOCK BUILDERS</t>
        </is>
      </c>
      <c r="D53" s="9" t="inlineStr">
        <is>
          <t>Dock Construction / Boat Lifts</t>
        </is>
      </c>
      <c r="E53" s="9" t="inlineStr">
        <is>
          <t>(423) 752-0708</t>
        </is>
      </c>
      <c r="F53" s="9" t="inlineStr">
        <is>
          <t>Chattanooga</t>
        </is>
      </c>
      <c r="G53" s="9" t="inlineStr">
        <is>
          <t>608 S Holtzclaw Ave</t>
        </is>
      </c>
      <c r="H53" s="9" t="inlineStr">
        <is>
          <t>37404</t>
        </is>
      </c>
      <c r="I53" s="9" t="inlineStr">
        <is>
          <t>info@chattanoogadockbuilders.com</t>
        </is>
      </c>
      <c r="J53" s="9" t="inlineStr">
        <is>
          <t>chattanoogadockbuilders.com</t>
        </is>
      </c>
      <c r="K53" s="10" t="n"/>
      <c r="L53" s="10" t="n"/>
      <c r="M53" s="10" t="n"/>
      <c r="N53" s="10" t="n"/>
      <c r="O53" s="9" t="inlineStr">
        <is>
          <t>OFFICIAL SITE 2026-09-04: phone (423) 752-0708, address 608 S Holtzclaw Ave 37404 and info@chattanoogadockbuilders.com ALL RE-CONFIRMED on their own contact page. Their own numbers: 250+ docks built and 400+ repair, maintenance and lift projects. Authorised Hewitt dealer doing floating docks, boat and PWC lifts and WearDeck composite. Hauling materials and lifts to lakefront sites means gravel-road miles - good windshield exposure.</t>
        </is>
      </c>
    </row>
    <row r="54">
      <c r="A54" s="7" t="inlineStr">
        <is>
          <t>A</t>
        </is>
      </c>
      <c r="B54" s="9" t="inlineStr">
        <is>
          <t>Confirmed on company site</t>
        </is>
      </c>
      <c r="C54" s="9" t="inlineStr">
        <is>
          <t>Chattanooga Electrician</t>
        </is>
      </c>
      <c r="D54" s="9" t="inlineStr">
        <is>
          <t>Electrical Contractor</t>
        </is>
      </c>
      <c r="E54" s="9" t="inlineStr">
        <is>
          <t>(423) 892-6759</t>
        </is>
      </c>
      <c r="F54" s="9" t="inlineStr">
        <is>
          <t>Chattanooga</t>
        </is>
      </c>
      <c r="G54" s="9" t="n"/>
      <c r="H54" s="9" t="n"/>
      <c r="I54" s="9" t="n"/>
      <c r="J54" s="9" t="inlineStr">
        <is>
          <t>chattanoogaelectrician.net</t>
        </is>
      </c>
      <c r="K54" s="10" t="n"/>
      <c r="L54" s="10" t="n"/>
      <c r="M54" s="10" t="n"/>
      <c r="N54" s="10" t="n"/>
      <c r="O54" s="9" t="inlineStr">
        <is>
          <t>OFFICIAL SITE 2026-09-04: phone (423) 892-6759 RE-CONFIRMED, and the trading name is confirmed as FOSTER ELECTRIC throughout their own site - 'Chattanooga Electrician' really is just the domain, so ask for Foster Electric. Full-service residential and commercial electrical contractor with neighbourhood-level areas-served pages across the city. No street address published.</t>
        </is>
      </c>
    </row>
    <row r="55">
      <c r="A55" s="7" t="inlineStr">
        <is>
          <t>A</t>
        </is>
      </c>
      <c r="B55" s="9" t="inlineStr">
        <is>
          <t>Confirmed on company site</t>
        </is>
      </c>
      <c r="C55" s="9" t="inlineStr">
        <is>
          <t>Chattanooga Exteriors</t>
        </is>
      </c>
      <c r="D55" s="9" t="inlineStr">
        <is>
          <t>Roofing / Decking / Exterior Contractor</t>
        </is>
      </c>
      <c r="E55" s="9" t="inlineStr">
        <is>
          <t>(423) 805-3800</t>
        </is>
      </c>
      <c r="F55" s="9" t="inlineStr">
        <is>
          <t>Chattanooga</t>
        </is>
      </c>
      <c r="G55" s="9" t="n"/>
      <c r="H55" s="9" t="n"/>
      <c r="I55" s="9" t="n"/>
      <c r="J55" s="9" t="inlineStr">
        <is>
          <t>chattanoogaexteriors.com</t>
        </is>
      </c>
      <c r="K55" s="10" t="n"/>
      <c r="L55" s="10" t="n"/>
      <c r="M55" s="10" t="n"/>
      <c r="N55" s="10" t="n"/>
      <c r="O55" s="9" t="inlineStr">
        <is>
          <t>OFFICIAL SITE 2026-09-04: phone (423) 805-3800 RE-CONFIRMED on chattanoogaexteriors.com. Still no street address published. NAMED CONTACTS FOUND - their site gives staff their own pages: ANDREW CARVER, WAREHOUSE MANAGER, is the one to ask for on a vehicle conversation, with Clay Patton, Controller, if it has to go through finance. Owens Corning preferred contractor doing roofing, siding, decks, windows and doors, with a Signal Mountain service page and a showroom.</t>
        </is>
      </c>
    </row>
    <row r="56">
      <c r="A56" s="7" t="inlineStr">
        <is>
          <t>A</t>
        </is>
      </c>
      <c r="B56" s="9" t="inlineStr">
        <is>
          <t>Confirmed on company site</t>
        </is>
      </c>
      <c r="C56" s="9" t="inlineStr">
        <is>
          <t>Chattanooga Fire Protection Inc.</t>
        </is>
      </c>
      <c r="D56" s="9" t="inlineStr">
        <is>
          <t>Fire Protection</t>
        </is>
      </c>
      <c r="E56" s="9" t="inlineStr">
        <is>
          <t>(423) 265-1772</t>
        </is>
      </c>
      <c r="F56" s="9" t="inlineStr">
        <is>
          <t>Chattanooga</t>
        </is>
      </c>
      <c r="G56" s="9" t="inlineStr">
        <is>
          <t>1818 Broad St</t>
        </is>
      </c>
      <c r="H56" s="9" t="inlineStr">
        <is>
          <t>37408</t>
        </is>
      </c>
      <c r="I56" s="9" t="inlineStr">
        <is>
          <t>careers@chattanoogafire.com</t>
        </is>
      </c>
      <c r="J56" s="9" t="inlineStr">
        <is>
          <t>chattanoogafire.com</t>
        </is>
      </c>
      <c r="K56" s="10" t="n"/>
      <c r="L56" s="10" t="n"/>
      <c r="M56" s="10" t="n"/>
      <c r="N56" s="10" t="n"/>
      <c r="O56" s="9" t="inlineStr">
        <is>
          <t>OFFICIAL SITE 2026-09-04: phone (423) 265-1772 RE-CONFIRMED - they run it in their own page titles alongside the 24-hour emergency promise. Address 1818 Broad St 37408 and fax (423) 267-4415 confirmed. CAUTION STANDS: careers@chattanoogafire.com is the recruiting mailbox and the only address they publish, so lead with the phone. On call 365 days a year across sprinklers, alarms, suppression and extinguishers - service trucks running at all hours.</t>
        </is>
      </c>
    </row>
    <row r="57">
      <c r="A57" s="7" t="inlineStr">
        <is>
          <t>A</t>
        </is>
      </c>
      <c r="B57" s="9" t="inlineStr">
        <is>
          <t>Confirmed on company site</t>
        </is>
      </c>
      <c r="C57" s="9" t="inlineStr">
        <is>
          <t>Chattanooga Floor Care</t>
        </is>
      </c>
      <c r="D57" s="9" t="inlineStr">
        <is>
          <t>Commercial Floor Care / Concrete Polishing</t>
        </is>
      </c>
      <c r="E57" s="9" t="inlineStr">
        <is>
          <t>(423) 708-2517</t>
        </is>
      </c>
      <c r="F57" s="9" t="inlineStr">
        <is>
          <t>Chattanooga</t>
        </is>
      </c>
      <c r="G57" s="9" t="inlineStr">
        <is>
          <t>2513 E 19th St</t>
        </is>
      </c>
      <c r="H57" s="9" t="inlineStr">
        <is>
          <t>37404</t>
        </is>
      </c>
      <c r="I57" s="9" t="inlineStr">
        <is>
          <t>info@chattfcs.com</t>
        </is>
      </c>
      <c r="J57" s="9" t="inlineStr">
        <is>
          <t>chattfcs.com</t>
        </is>
      </c>
      <c r="K57" s="10" t="n"/>
      <c r="L57" s="10" t="n"/>
      <c r="M57" s="10" t="n"/>
      <c r="N57" s="10" t="n"/>
      <c r="O57" s="9" t="inlineStr">
        <is>
          <t>OFFICIAL SITE 2026-09-04: phone (423) 708-2517, address 2513 E 19th St 37404 and info@chattfcs.com ALL RE-CONFIRMED on their own contact page. Concrete polishing, grinding, sealing and epoxy plus carpet cleaning and VCT stripping and waxing, residential through industrial - grinders and buffers travelling in box trucks between jobs. The Soddy Daisy mention on their about page holds. Their site has an Our Team page for a named contact.</t>
        </is>
      </c>
    </row>
    <row r="58">
      <c r="A58" s="7" t="inlineStr">
        <is>
          <t>A</t>
        </is>
      </c>
      <c r="B58" s="9" t="inlineStr">
        <is>
          <t>Confirmed on company site</t>
        </is>
      </c>
      <c r="C58" s="9" t="inlineStr">
        <is>
          <t>Chattanooga Hardwood Center</t>
        </is>
      </c>
      <c r="D58" s="9" t="inlineStr">
        <is>
          <t>Hardwood Lumber Yard / Delivery</t>
        </is>
      </c>
      <c r="E58" s="9" t="inlineStr">
        <is>
          <t>(423) 624-0000</t>
        </is>
      </c>
      <c r="F58" s="9" t="inlineStr">
        <is>
          <t>Chattanooga</t>
        </is>
      </c>
      <c r="G58" s="9" t="inlineStr">
        <is>
          <t>2420 East Main Street</t>
        </is>
      </c>
      <c r="H58" s="9" t="inlineStr">
        <is>
          <t>37404</t>
        </is>
      </c>
      <c r="I58" s="9" t="inlineStr">
        <is>
          <t>shop@lumberjackstn.com</t>
        </is>
      </c>
      <c r="J58" s="9" t="inlineStr">
        <is>
          <t>chattanoogahardwood.com</t>
        </is>
      </c>
      <c r="K58" s="10" t="n"/>
      <c r="L58" s="10" t="n"/>
      <c r="M58" s="10" t="n"/>
      <c r="N58" s="10" t="n"/>
      <c r="O58" s="9" t="inlineStr">
        <is>
          <t>OFFICIAL SITE 2026-09-04: phone (423) 624-0000 and address 2420 East Main Street 37404 RE-CONFIRMED; hours Mon-Fri 8:00-16:30, Sat 8:00-14:00. EMAIL FOUND where the row had none: shop@lumberjackstn.com. SAME OWNERS AS ROW 125 - the site trades as both Chattanooga Hardwood Center and LUMBERJACKS Hardwood Center on the lumberjackstn.com mailbox, so this yard, Lumberjacks Tree Service (row 125) and the Cromwell Rd hardwood yard are one group. One conversation may cover all of them, and it is a bigger combined fleet than either row suggests alone: lumber delivery trucks here, bucket and chip trucks on the tree side. They also do on-demand pallets.</t>
        </is>
      </c>
    </row>
    <row r="59">
      <c r="A59" s="7" t="inlineStr">
        <is>
          <t>A</t>
        </is>
      </c>
      <c r="B59" s="9" t="inlineStr">
        <is>
          <t>Confirmed on company site</t>
        </is>
      </c>
      <c r="C59" s="9" t="inlineStr">
        <is>
          <t>Chattanooga Heating &amp; Air</t>
        </is>
      </c>
      <c r="D59" s="9" t="inlineStr">
        <is>
          <t>HVAC Contractor</t>
        </is>
      </c>
      <c r="E59" s="9" t="inlineStr">
        <is>
          <t>(423) 702-6399</t>
        </is>
      </c>
      <c r="F59" s="9" t="inlineStr">
        <is>
          <t>Chattanooga</t>
        </is>
      </c>
      <c r="G59" s="9" t="inlineStr">
        <is>
          <t>430 Chestnut St</t>
        </is>
      </c>
      <c r="H59" s="9" t="n"/>
      <c r="I59" s="9" t="n"/>
      <c r="J59" s="9" t="inlineStr">
        <is>
          <t>chattanoogaairconditioningrepair.com</t>
        </is>
      </c>
      <c r="K59" s="10" t="n"/>
      <c r="L59" s="10" t="n"/>
      <c r="M59" s="10" t="n"/>
      <c r="N59" s="10" t="n"/>
      <c r="O59" s="9" t="inlineStr">
        <is>
          <t>OFFICIAL SITE 2026-09-04: phone (423) 702-6399 RE-CONFIRMED - they run it in their own site title - and 430 Chestnut St confirmed. SECOND LOCATION with its own number: Ooltewah, 5419 Woodbridge Dr 37363, (423) 910-9097, plus a McBrien Rd page. Family run across two sites means a real van fleet and two service managers to try. Their site does not publish the ZIP for the Chestnut St office, so that stays blank rather than guessed. The salon on a subdomain is shared hosting, not a problem with the business.</t>
        </is>
      </c>
    </row>
    <row r="60">
      <c r="A60" s="7" t="inlineStr">
        <is>
          <t>A</t>
        </is>
      </c>
      <c r="B60" s="9" t="inlineStr">
        <is>
          <t>Confirmed on company site</t>
        </is>
      </c>
      <c r="C60" s="9" t="inlineStr">
        <is>
          <t>Chattanooga Housing Authority</t>
        </is>
      </c>
      <c r="D60" s="9" t="inlineStr">
        <is>
          <t>Large Real Estate (Public Housing)</t>
        </is>
      </c>
      <c r="E60" s="9" t="inlineStr">
        <is>
          <t>(423) 752-4893</t>
        </is>
      </c>
      <c r="F60" s="9" t="inlineStr">
        <is>
          <t>Chattanooga</t>
        </is>
      </c>
      <c r="G60" s="9" t="inlineStr">
        <is>
          <t>801 N Holtzclaw Ave</t>
        </is>
      </c>
      <c r="H60" s="9" t="inlineStr">
        <is>
          <t>37404</t>
        </is>
      </c>
      <c r="I60" s="9" t="n"/>
      <c r="J60" s="9" t="inlineStr">
        <is>
          <t>chahousing.org</t>
        </is>
      </c>
      <c r="K60" s="10" t="n"/>
      <c r="L60" s="10" t="n"/>
      <c r="M60" s="10" t="n"/>
      <c r="N60" s="10" t="n"/>
      <c r="O60" s="9" t="inlineStr">
        <is>
          <t>OFFICIAL SITE 2026-09-04: phone (423) 752-4893 RE-CONFIRMED on chahousing.org, with 801 N Holtzclaw Ave and Mon-Fri 8:30-17:00. Departmental lines if the main number stalls: Housing Choice Voucher/Section 8 customer service (423) 752-4866, legal counsel (423) 752-4820. Public agency running its own maintenance-vehicle fleet across managed properties; buys on quote, so ask for procurement.</t>
        </is>
      </c>
    </row>
    <row r="61">
      <c r="A61" s="7" t="inlineStr">
        <is>
          <t>A</t>
        </is>
      </c>
      <c r="B61" s="9" t="inlineStr">
        <is>
          <t>Confirmed on company site</t>
        </is>
      </c>
      <c r="C61" s="9" t="inlineStr">
        <is>
          <t>Chattanooga Mobile Truck Repair</t>
        </is>
      </c>
      <c r="D61" s="9" t="inlineStr">
        <is>
          <t>Mobile Truck &amp; Fleet Repair</t>
        </is>
      </c>
      <c r="E61" s="9" t="inlineStr">
        <is>
          <t>(423) 454-3889</t>
        </is>
      </c>
      <c r="F61" s="9" t="inlineStr">
        <is>
          <t>Chattanooga</t>
        </is>
      </c>
      <c r="G61" s="9" t="inlineStr">
        <is>
          <t>411 W 28th St</t>
        </is>
      </c>
      <c r="H61" s="9" t="inlineStr">
        <is>
          <t>37408</t>
        </is>
      </c>
      <c r="I61" s="9" t="n"/>
      <c r="J61" s="9" t="inlineStr">
        <is>
          <t>chattanoogamobiletruckrepair.com</t>
        </is>
      </c>
      <c r="K61" s="10" t="n"/>
      <c r="L61" s="10" t="n"/>
      <c r="M61" s="10" t="n"/>
      <c r="N61" s="10" t="n"/>
      <c r="O61" s="9" t="inlineStr">
        <is>
          <t>OFFICIAL SITE 2026-09-04: phone (423) 454-3889 and address 411 W 28th St 37408 RE-CONFIRMED - they run both in their own site title. Their own words on what they work on: semi trucks, box trucks, dump trucks, concrete mixers, buses and RVs, for fleet accounts and owner-operators. TWO ANGLES STAND, and the second is the better one - they are inside other people's fleets every day, so a referral arrangement is worth raising alongside their own service trucks.</t>
        </is>
      </c>
    </row>
    <row r="62">
      <c r="A62" s="7" t="inlineStr">
        <is>
          <t>A</t>
        </is>
      </c>
      <c r="B62" s="9" t="inlineStr">
        <is>
          <t>Confirmed on company site</t>
        </is>
      </c>
      <c r="C62" s="9" t="inlineStr">
        <is>
          <t>Chattanooga Restaurant Supply, Inc.</t>
        </is>
      </c>
      <c r="D62" s="9" t="inlineStr">
        <is>
          <t>Wholesale Foodservice Distributor</t>
        </is>
      </c>
      <c r="E62" s="9" t="inlineStr">
        <is>
          <t>(423) 266-8181</t>
        </is>
      </c>
      <c r="F62" s="9" t="inlineStr">
        <is>
          <t>Chattanooga</t>
        </is>
      </c>
      <c r="G62" s="9" t="inlineStr">
        <is>
          <t>822 East 11th Street</t>
        </is>
      </c>
      <c r="H62" s="9" t="inlineStr">
        <is>
          <t>37403</t>
        </is>
      </c>
      <c r="I62" s="9" t="n"/>
      <c r="J62" s="9" t="inlineStr">
        <is>
          <t>chattrestsupply.com</t>
        </is>
      </c>
      <c r="K62" s="10" t="n"/>
      <c r="L62" s="10" t="n"/>
      <c r="M62" s="10" t="n"/>
      <c r="N62" s="10" t="n"/>
      <c r="O62" s="9" t="inlineStr">
        <is>
          <t>OFFICIAL SITE 2026-09-04: phone (423) 266-8181 RE-CONFIRMED on their own contact page, address 822 East 11th Street 37403 confirmed. Their coverage-area page confirms local delivery on a 75-MILE RADIUS across southeast Tennessee - box trucks running long days, which is exactly the windshield exposure worth quoting. They also run a cash-and-carry store on site. Their site has an Our Staff page worth mining for a named contact; no email published.</t>
        </is>
      </c>
    </row>
    <row r="63">
      <c r="A63" s="7" t="inlineStr">
        <is>
          <t>A</t>
        </is>
      </c>
      <c r="B63" s="9" t="inlineStr">
        <is>
          <t>Confirmed on company site</t>
        </is>
      </c>
      <c r="C63" s="9" t="inlineStr">
        <is>
          <t>Chattanooga Roofing Contractors</t>
        </is>
      </c>
      <c r="D63" s="9" t="inlineStr">
        <is>
          <t>Roofing / Siding / Electrical Contractor Group</t>
        </is>
      </c>
      <c r="E63" s="9" t="inlineStr">
        <is>
          <t>(423) 800-7752</t>
        </is>
      </c>
      <c r="F63" s="9" t="inlineStr">
        <is>
          <t>Chattanooga</t>
        </is>
      </c>
      <c r="G63" s="9" t="n"/>
      <c r="H63" s="9" t="n"/>
      <c r="I63" s="9" t="n"/>
      <c r="J63" s="9" t="inlineStr">
        <is>
          <t>chattanoogacontractorsgroup.com</t>
        </is>
      </c>
      <c r="K63" s="10" t="n"/>
      <c r="L63" s="10" t="n"/>
      <c r="M63" s="10" t="n"/>
      <c r="N63" s="10" t="n"/>
      <c r="O63" s="9" t="inlineStr">
        <is>
          <t>OFFICIAL SITE 2026-09-04: phone (423) 800-7752 RE-CONFIRMED on chattanoogacontractorsgroup.com. Trading name confirmed as Chattanooga Contractors Group, and their own description confirms the structure worth knowing: a COLLABORATION OF SEPARATE family-owned contractors - roofing and restoration plus a distinct electrical arm - serving southeast Tennessee and north Georgia. So one call can reach several fleets, but expect each to own its own vehicles; ask who buys for whom. No street address published.</t>
        </is>
      </c>
    </row>
    <row r="64">
      <c r="A64" s="7" t="inlineStr">
        <is>
          <t>A</t>
        </is>
      </c>
      <c r="B64" s="9" t="inlineStr">
        <is>
          <t>Confirmed on company site</t>
        </is>
      </c>
      <c r="C64" s="9" t="inlineStr">
        <is>
          <t>Chattanooga Septic Systems</t>
        </is>
      </c>
      <c r="D64" s="9" t="inlineStr">
        <is>
          <t>Septic / Grease Trap Pumping</t>
        </is>
      </c>
      <c r="E64" s="9" t="inlineStr">
        <is>
          <t>(423) 774-8541</t>
        </is>
      </c>
      <c r="F64" s="9" t="inlineStr">
        <is>
          <t>Soddy-Daisy</t>
        </is>
      </c>
      <c r="G64" s="9" t="inlineStr">
        <is>
          <t>9533 Hixson Pike</t>
        </is>
      </c>
      <c r="H64" s="9" t="inlineStr">
        <is>
          <t>37379</t>
        </is>
      </c>
      <c r="I64" s="9" t="inlineStr">
        <is>
          <t>chattanoogaseptic423@gmail.com</t>
        </is>
      </c>
      <c r="J64" s="9" t="inlineStr">
        <is>
          <t>chattanoogaseptic.systems</t>
        </is>
      </c>
      <c r="K64" s="10" t="n"/>
      <c r="L64" s="10" t="n"/>
      <c r="M64" s="10" t="n"/>
      <c r="N64" s="10" t="n"/>
      <c r="O64" s="9" t="inlineStr">
        <is>
          <t>OFFICIAL SITE 2026-09-04: phone (423) 774-8541, address 9533 Hixson Pike, Soddy-Daisy 37379 and chattanoogaseptic423@gmail.com ALL RE-CONFIRMED on their own contact page. OPEN 24/7 - a septic emergency operation means vacuum trucks out at night on bad roads. They run grease-trap pumping as well as septic, plus tank installs and field-line repair, and have a dedicated Soddy-Daisy page. Right on Hixson Pike, easy to reach from your side of town.</t>
        </is>
      </c>
    </row>
    <row r="65">
      <c r="A65" s="7" t="inlineStr">
        <is>
          <t>A</t>
        </is>
      </c>
      <c r="B65" s="9" t="inlineStr">
        <is>
          <t>Confirmed on company site</t>
        </is>
      </c>
      <c r="C65" s="9" t="inlineStr">
        <is>
          <t>Chattanooga Times Free Press (WEHCO Media)</t>
        </is>
      </c>
      <c r="D65" s="9" t="inlineStr">
        <is>
          <t>Newspaper / Print Distribution</t>
        </is>
      </c>
      <c r="E65" s="9" t="inlineStr">
        <is>
          <t>(423) 757-6262</t>
        </is>
      </c>
      <c r="F65" s="9" t="inlineStr">
        <is>
          <t>Chattanooga</t>
        </is>
      </c>
      <c r="G65" s="9" t="inlineStr">
        <is>
          <t>400 E 11th St</t>
        </is>
      </c>
      <c r="H65" s="9" t="inlineStr">
        <is>
          <t>37403</t>
        </is>
      </c>
      <c r="I65" s="9" t="inlineStr">
        <is>
          <t>circulationcs@timesfreepress.com</t>
        </is>
      </c>
      <c r="J65" s="9" t="inlineStr">
        <is>
          <t>timesfreepress.com</t>
        </is>
      </c>
      <c r="K65" s="10" t="n"/>
      <c r="L65" s="10" t="n"/>
      <c r="M65" s="10" t="n"/>
      <c r="N65" s="10" t="n"/>
      <c r="O65" s="9" t="inlineStr">
        <is>
          <t>OFFICIAL SITE 2026-09-04: circulation (423) 757-6262 RE-CONFIRMED alongside circulationcs@timesfreepress.com - the 09-03 correction holds, and the 423-756-6900 that was on file still appears nowhere on their site. Circulation is the right department here: that is the carrier and delivery operation, not the newsroom. Their contact page now lists newsroom 423-757-6357 and 423-757-6397 and news@timesfreepress.com, with 423-757-6260 for story ideas and feedback - the earlier note called 6260 the newsroom line, which was close but not what the site says now. Circulation office hours Mon-Fri 9:00-17:00, Sat 9:00-10:30, Sun 9:00-12:00. Address 400 E 11th St confirmed.</t>
        </is>
      </c>
    </row>
    <row r="66">
      <c r="A66" s="7" t="inlineStr">
        <is>
          <t>A</t>
        </is>
      </c>
      <c r="B66" s="9" t="inlineStr">
        <is>
          <t>Confirmed on company site</t>
        </is>
      </c>
      <c r="C66" s="9" t="inlineStr">
        <is>
          <t>Chattanooga Trailer &amp; Rental, Inc.</t>
        </is>
      </c>
      <c r="D66" s="9" t="inlineStr">
        <is>
          <t>Trailer Sales, Rental &amp; Repair / Truck Equipment</t>
        </is>
      </c>
      <c r="E66" s="9" t="inlineStr">
        <is>
          <t>(423) 899-1744</t>
        </is>
      </c>
      <c r="F66" s="9" t="inlineStr">
        <is>
          <t>Chattanooga</t>
        </is>
      </c>
      <c r="G66" s="9" t="inlineStr">
        <is>
          <t>7445 Lee Highway</t>
        </is>
      </c>
      <c r="H66" s="9" t="inlineStr">
        <is>
          <t>37421</t>
        </is>
      </c>
      <c r="I66" s="9" t="n"/>
      <c r="J66" s="9" t="inlineStr">
        <is>
          <t>chattanoogatrailer.com</t>
        </is>
      </c>
      <c r="K66" s="10" t="n"/>
      <c r="L66" s="10" t="n"/>
      <c r="M66" s="10" t="n"/>
      <c r="N66" s="10" t="n"/>
      <c r="O66" s="9" t="inlineStr">
        <is>
          <t>OFFICIAL SITE 2026-09-04: phone (423) 899-1744 and address 7445 Lee Highway 37421 RE-CONFIRMED; toll-free (877) 250-1508, fax (423) 899-9512, hours Mon-Fri 8:00-17:00, Sat 9:00-13:00. They also run a North Chesterfield VA location, so this is a two-state dealer. Trailer sales, service, rental and leasing - flatbeds, storage trailers, containers and cartage vans. BOTH ANGLES STAND, and the referral one is the stronger: every fleet operator in the region comes through their shop. Worth a reciprocal arrangement conversation, not just a quote.</t>
        </is>
      </c>
    </row>
    <row r="67">
      <c r="A67" s="7" t="inlineStr">
        <is>
          <t>A</t>
        </is>
      </c>
      <c r="B67" s="9" t="inlineStr">
        <is>
          <t>Confirmed on company site</t>
        </is>
      </c>
      <c r="C67" s="9" t="inlineStr">
        <is>
          <t>CHATTANOOGA TREE SERVICE, INC.</t>
        </is>
      </c>
      <c r="D67" s="9" t="inlineStr">
        <is>
          <t>Tree Service / Storm Damage</t>
        </is>
      </c>
      <c r="E67" s="9" t="inlineStr">
        <is>
          <t>(423) 899-5753</t>
        </is>
      </c>
      <c r="F67" s="9" t="inlineStr">
        <is>
          <t>Chattanooga</t>
        </is>
      </c>
      <c r="G67" s="9" t="inlineStr">
        <is>
          <t>8776 Igou Gap Rd</t>
        </is>
      </c>
      <c r="H67" s="9" t="inlineStr">
        <is>
          <t>37421</t>
        </is>
      </c>
      <c r="I67" s="9" t="n"/>
      <c r="J67" s="9" t="inlineStr">
        <is>
          <t>chattanoogatree.com</t>
        </is>
      </c>
      <c r="K67" s="10" t="n"/>
      <c r="L67" s="10" t="n"/>
      <c r="M67" s="10" t="n"/>
      <c r="N67" s="10" t="n"/>
      <c r="O67" s="9" t="inlineStr">
        <is>
          <t>OFFICIAL SITE 2026-09-04: phone (423) 899-5753 and address 8776 Igou Gap Rd 37421 RE-CONFIRMED. THEIR EQUIPMENT PAGE IS THE PITCH - they publish the fleet themselves: 3 cranes including a 140-ft, a 75-ft BUCKET TRUCK used for roadside tree work, two 90-ft tracked bucket lifts, a 70-ft tracked lift and a tracked stump grinder. The 75-ft roadside truck is the one taking rock strikes. Family owned 50 years, 24-hour emergency and storm-damage work. No email published; quote request form only.</t>
        </is>
      </c>
    </row>
    <row r="68">
      <c r="A68" s="7" t="inlineStr">
        <is>
          <t>A</t>
        </is>
      </c>
      <c r="B68" s="9" t="inlineStr">
        <is>
          <t>Confirmed on company site</t>
        </is>
      </c>
      <c r="C68" s="9" t="inlineStr">
        <is>
          <t>Chickamauga Construction</t>
        </is>
      </c>
      <c r="D68" s="9" t="inlineStr">
        <is>
          <t>Concrete / Poured Walls / Excavation</t>
        </is>
      </c>
      <c r="E68" s="9" t="inlineStr">
        <is>
          <t>(423) 883-5389</t>
        </is>
      </c>
      <c r="F68" s="9" t="inlineStr">
        <is>
          <t>Chattanooga</t>
        </is>
      </c>
      <c r="G68" s="9" t="n"/>
      <c r="H68" s="9" t="n"/>
      <c r="I68" s="9" t="inlineStr">
        <is>
          <t>contact@chickamaugaconstruction.com</t>
        </is>
      </c>
      <c r="J68" s="9" t="inlineStr">
        <is>
          <t>chickamaugaconstruction.com</t>
        </is>
      </c>
      <c r="K68" s="10" t="n"/>
      <c r="L68" s="10" t="n"/>
      <c r="M68" s="10" t="n"/>
      <c r="N68" s="10" t="n"/>
      <c r="O68" s="9" t="inlineStr">
        <is>
          <t>OFFICIAL SITE 2026-09-04: phone (423) 883-5389 RE-CONFIRMED on chickamaugaconstruction.com. SDVOSB status confirmed on their own about page - founder is a US Marine veteran with large-scale civil experience for energy companies and federal agencies, which is what opens government work. 20+ years doing poured walls, retaining walls, basements, foundations, excavation, flatwork, drainage and commercial concrete (parking lots, curbs, ADA ramps). Excavators and heavy trucks. No street address published; contact@chickamaugaconstruction.com holds.</t>
        </is>
      </c>
    </row>
    <row r="69">
      <c r="A69" s="7" t="inlineStr">
        <is>
          <t>A</t>
        </is>
      </c>
      <c r="B69" s="9" t="inlineStr">
        <is>
          <t>Confirmed on company site</t>
        </is>
      </c>
      <c r="C69" s="9" t="inlineStr">
        <is>
          <t>Christian Brothers Automotive Hixson</t>
        </is>
      </c>
      <c r="D69" s="9" t="inlineStr">
        <is>
          <t>Auto Repair</t>
        </is>
      </c>
      <c r="E69" s="9" t="inlineStr">
        <is>
          <t>(423) 403-3678</t>
        </is>
      </c>
      <c r="F69" s="9" t="inlineStr">
        <is>
          <t>Hixson</t>
        </is>
      </c>
      <c r="G69" s="9" t="inlineStr">
        <is>
          <t>5595 Hixson Pike</t>
        </is>
      </c>
      <c r="H69" s="9" t="inlineStr">
        <is>
          <t>37343</t>
        </is>
      </c>
      <c r="I69" s="9" t="n"/>
      <c r="J69" s="9" t="inlineStr">
        <is>
          <t>cbac.com/hixson</t>
        </is>
      </c>
      <c r="K69" s="10" t="n"/>
      <c r="L69" s="10" t="n"/>
      <c r="M69" s="10" t="n"/>
      <c r="N69" s="10" t="n"/>
      <c r="O69" s="9" t="inlineStr">
        <is>
          <t>OFFICIAL SITE 2026-09-04: phone (423) 403-3678 RE-CONFIRMED on cbac.com's own Hixson pages, address 5595 Hixson Pike 37343 confirmed. No email published; the franchise books through a form and a scheduler. Independent-franchise repair shop - a customer for glass on cars in their bays as much as for any fleet of their own.</t>
        </is>
      </c>
    </row>
    <row r="70">
      <c r="A70" s="7" t="inlineStr">
        <is>
          <t>A</t>
        </is>
      </c>
      <c r="B70" s="9" t="inlineStr">
        <is>
          <t>Confirmed on company site</t>
        </is>
      </c>
      <c r="C70" s="9" t="inlineStr">
        <is>
          <t>Cintas Uniform Services</t>
        </is>
      </c>
      <c r="D70" s="9" t="inlineStr">
        <is>
          <t>Uniform / Linen Rental</t>
        </is>
      </c>
      <c r="E70" s="9" t="inlineStr">
        <is>
          <t>(423) 822-5255</t>
        </is>
      </c>
      <c r="F70" s="9" t="inlineStr">
        <is>
          <t>Chattanooga</t>
        </is>
      </c>
      <c r="G70" s="9" t="inlineStr">
        <is>
          <t>2131 Polymer Dr Ste 2131-A</t>
        </is>
      </c>
      <c r="H70" s="9" t="inlineStr">
        <is>
          <t>37421</t>
        </is>
      </c>
      <c r="I70" s="9" t="n"/>
      <c r="J70" s="9" t="inlineStr">
        <is>
          <t>cintas.com/local/usa/tn/chattanooga/uniform-services</t>
        </is>
      </c>
      <c r="K70" s="10" t="n"/>
      <c r="L70" s="10" t="n"/>
      <c r="M70" s="10" t="n"/>
      <c r="N70" s="10" t="n"/>
      <c r="O70" s="9" t="inlineStr">
        <is>
          <t>OFFICIAL SITE 2026-09-04: phone (423) 822-5255 RE-CONFIRMED as the UNIFORM SERVICES line - a first search conflated it with the facility-services line, a second on their own contact pages separated them. Two divisions at one branch: uniform services (423) 822-5255 and facility services (423) 401-8800; the number on file is the right one to lead with. ADDRESS NOW SOURCED: cintas.com publishes 2131 Polymer Dr Suite 2131-A, 37421, which the earlier pass could not find - added. Hours Mon-Fri 8:00-17:00 ET. Both divisions run daily route trucks.</t>
        </is>
      </c>
    </row>
    <row r="71">
      <c r="A71" s="7" t="inlineStr">
        <is>
          <t>A</t>
        </is>
      </c>
      <c r="B71" s="9" t="inlineStr">
        <is>
          <t>Confirmed on company site</t>
        </is>
      </c>
      <c r="C71" s="9" t="inlineStr">
        <is>
          <t>City Auto Chattanooga</t>
        </is>
      </c>
      <c r="D71" s="9" t="inlineStr">
        <is>
          <t>Used Car Dealership</t>
        </is>
      </c>
      <c r="E71" s="9" t="inlineStr">
        <is>
          <t>(423) 551-3600</t>
        </is>
      </c>
      <c r="F71" s="9" t="inlineStr">
        <is>
          <t>Chattanooga</t>
        </is>
      </c>
      <c r="G71" s="9" t="inlineStr">
        <is>
          <t>2263 Encompass Drive</t>
        </is>
      </c>
      <c r="H71" s="9" t="inlineStr">
        <is>
          <t>37421</t>
        </is>
      </c>
      <c r="I71" s="9" t="n"/>
      <c r="J71" s="9" t="inlineStr">
        <is>
          <t>cityautochattanooga.com</t>
        </is>
      </c>
      <c r="K71" s="10" t="n"/>
      <c r="L71" s="10" t="n"/>
      <c r="M71" s="10" t="n"/>
      <c r="N71" s="10" t="n"/>
      <c r="O71" s="9" t="inlineStr">
        <is>
          <t>Phone re-checked 2026-09-04 against their own site - unchanged and correct. Their City Auto Commercial arm sells fleet vehicles, which is the side worth talking to.</t>
        </is>
      </c>
    </row>
    <row r="72">
      <c r="A72" s="7" t="inlineStr">
        <is>
          <t>A</t>
        </is>
      </c>
      <c r="B72" s="9" t="inlineStr">
        <is>
          <t>Confirmed on company site</t>
        </is>
      </c>
      <c r="C72" s="9" t="inlineStr">
        <is>
          <t>CityGreen Services</t>
        </is>
      </c>
      <c r="D72" s="9" t="inlineStr">
        <is>
          <t>Commercial Landscape Installation &amp; Maintenance</t>
        </is>
      </c>
      <c r="E72" s="9" t="inlineStr">
        <is>
          <t>(423) 648-5263</t>
        </is>
      </c>
      <c r="F72" s="9" t="inlineStr">
        <is>
          <t>Chattanooga</t>
        </is>
      </c>
      <c r="G72" s="9" t="n"/>
      <c r="H72" s="9" t="n"/>
      <c r="I72" s="9" t="inlineStr">
        <is>
          <t>info@citygreenservices.com</t>
        </is>
      </c>
      <c r="J72" s="9" t="inlineStr">
        <is>
          <t>citygreenservices.com</t>
        </is>
      </c>
      <c r="K72" s="10" t="n"/>
      <c r="L72" s="10" t="n"/>
      <c r="M72" s="10" t="n"/>
      <c r="N72" s="10" t="n"/>
      <c r="O72" s="9" t="inlineStr">
        <is>
          <t>OFFICIAL SITE 2026-09-04: phone (423) 648-5263 and info@citygreenservices.com RE-CONFIRMED; fax (423) 648-5265. THREE OFFICES CONFIRMED - Chattanooga, Atlanta and Nashville - so the fleet is regional, not local. 20+ years maintaining office parks, corporate campuses, retail, HOAs, industrial parks and hospitality properties: commercial maintenance crews running trucks and trailers every working day. No street address published.</t>
        </is>
      </c>
    </row>
    <row r="73">
      <c r="A73" s="7" t="inlineStr">
        <is>
          <t>A</t>
        </is>
      </c>
      <c r="B73" s="9" t="inlineStr">
        <is>
          <t>Confirmed on company site</t>
        </is>
      </c>
      <c r="C73" s="9" t="inlineStr">
        <is>
          <t>Classic Collision (Gunbarrel Rd)</t>
        </is>
      </c>
      <c r="D73" s="9" t="inlineStr">
        <is>
          <t>Collision Repair / Body Shop</t>
        </is>
      </c>
      <c r="E73" s="9" t="inlineStr">
        <is>
          <t>(423) 899-0320</t>
        </is>
      </c>
      <c r="F73" s="9" t="inlineStr">
        <is>
          <t>Chattanooga</t>
        </is>
      </c>
      <c r="G73" s="9" t="inlineStr">
        <is>
          <t>1410 Gunbarrel Road</t>
        </is>
      </c>
      <c r="H73" s="9" t="inlineStr">
        <is>
          <t>37421</t>
        </is>
      </c>
      <c r="I73" s="9" t="n"/>
      <c r="J73" s="9" t="inlineStr">
        <is>
          <t>classiccollision.com</t>
        </is>
      </c>
      <c r="K73" s="10" t="n"/>
      <c r="L73" s="10" t="n"/>
      <c r="M73" s="10" t="n"/>
      <c r="N73" s="10" t="n"/>
      <c r="O73" s="9" t="inlineStr">
        <is>
          <t>Phone re-checked 2026-09-04 - unchanged and correct. NOTE THE OVERLAP: this address and number are identical to the Advanced Collision Gunbarrel site listed separately on this workbook, which means Classic Collision has taken over Advanced Collision's shops. Treat the two brands as one group and do not call both. As above, they do their own glass replacement.</t>
        </is>
      </c>
    </row>
    <row r="74">
      <c r="A74" s="7" t="inlineStr">
        <is>
          <t>A</t>
        </is>
      </c>
      <c r="B74" s="9" t="inlineStr">
        <is>
          <t>Confirmed on company site</t>
        </is>
      </c>
      <c r="C74" s="9" t="inlineStr">
        <is>
          <t>Classic Collision (Hixson Pike)</t>
        </is>
      </c>
      <c r="D74" s="9" t="inlineStr">
        <is>
          <t>Collision Repair / Body Shop</t>
        </is>
      </c>
      <c r="E74" s="9" t="inlineStr">
        <is>
          <t>(423) 875-5482</t>
        </is>
      </c>
      <c r="F74" s="9" t="inlineStr">
        <is>
          <t>Chattanooga</t>
        </is>
      </c>
      <c r="G74" s="9" t="inlineStr">
        <is>
          <t>4854 Dayton Blvd</t>
        </is>
      </c>
      <c r="H74" s="9" t="inlineStr">
        <is>
          <t>37415</t>
        </is>
      </c>
      <c r="I74" s="9" t="n"/>
      <c r="J74" s="9" t="inlineStr">
        <is>
          <t>classiccollision.com</t>
        </is>
      </c>
      <c r="K74" s="10" t="n"/>
      <c r="L74" s="10" t="n"/>
      <c r="M74" s="10" t="n"/>
      <c r="N74" s="10" t="n"/>
      <c r="O74" s="9" t="inlineStr">
        <is>
          <t>OFFICIAL SITE 2026-09-04: phone (423) 875-5482 RE-CONFIRMED, but the row's geography was wrong. classiccollision.com calls the 4854 Dayton Blvd shop 'Classic Collision Red Bank' and gives the city as Chattanooga 37415, not Hixson 37343 - corrected. The row name '(Hixson Pike)' is misleading and should be renamed Red Bank: Classic Collision has separate Hixson and Northgate shops that genuinely are in 37343. COMPETITOR CAUTION STANDS - Classic Collision does its own glass replacement, and their site now lists nine metro shops (Red Bank, Chattanooga, Chattanooga East, Hixson, Northgate, Chapman, Chapman North, Gunbarrel Rd, Jersey Pike). Hours Mon-Fri 8:00-17:30, Sat by appointment.</t>
        </is>
      </c>
    </row>
    <row r="75">
      <c r="A75" s="7" t="inlineStr">
        <is>
          <t>A</t>
        </is>
      </c>
      <c r="B75" s="9" t="inlineStr">
        <is>
          <t>Confirmed on company site</t>
        </is>
      </c>
      <c r="C75" s="9" t="inlineStr">
        <is>
          <t>Classic Collision (International Dr)</t>
        </is>
      </c>
      <c r="D75" s="9" t="inlineStr">
        <is>
          <t>Collision Repair / Body Shop</t>
        </is>
      </c>
      <c r="E75" s="9" t="inlineStr">
        <is>
          <t>(423) 510-0600</t>
        </is>
      </c>
      <c r="F75" s="9" t="inlineStr">
        <is>
          <t>Chattanooga</t>
        </is>
      </c>
      <c r="G75" s="9" t="inlineStr">
        <is>
          <t>6009 International Drive</t>
        </is>
      </c>
      <c r="H75" s="9" t="inlineStr">
        <is>
          <t>37421</t>
        </is>
      </c>
      <c r="I75" s="9" t="n"/>
      <c r="J75" s="9" t="inlineStr">
        <is>
          <t>classiccollision.com</t>
        </is>
      </c>
      <c r="K75" s="10" t="n"/>
      <c r="L75" s="10" t="n"/>
      <c r="M75" s="10" t="n"/>
      <c r="N75" s="10" t="n"/>
      <c r="O75" s="9" t="inlineStr">
        <is>
          <t>Phone re-checked 2026-09-04 - unchanged and correct. IMPORTANT: their own location pages list GLASS REPLACEMENT among the services they provide, so this chain is a competitor for that work, not a customer. Classic Collision now runs at least eight shops in the metro - International Dr, Gunbarrel, Chapman, Chapman North, Chattanooga East, Red Bank, Jersey Pike and Hixson.</t>
        </is>
      </c>
    </row>
    <row r="76">
      <c r="A76" s="7" t="inlineStr">
        <is>
          <t>A</t>
        </is>
      </c>
      <c r="B76" s="9" t="inlineStr">
        <is>
          <t>Confirmed on company site</t>
        </is>
      </c>
      <c r="C76" s="9" t="inlineStr">
        <is>
          <t>CMC Recycling (Commercial Metals Co.)</t>
        </is>
      </c>
      <c r="D76" s="9" t="inlineStr">
        <is>
          <t>Recycling / Scrap Metal</t>
        </is>
      </c>
      <c r="E76" s="9" t="inlineStr">
        <is>
          <t>(423) 267-2181</t>
        </is>
      </c>
      <c r="F76" s="9" t="inlineStr">
        <is>
          <t>Chattanooga</t>
        </is>
      </c>
      <c r="G76" s="9" t="inlineStr">
        <is>
          <t>2000 Washington St</t>
        </is>
      </c>
      <c r="H76" s="9" t="inlineStr">
        <is>
          <t>37408</t>
        </is>
      </c>
      <c r="I76" s="9" t="n"/>
      <c r="J76" s="9" t="inlineStr">
        <is>
          <t>cmcrecycling.com/locations/chattanooga</t>
        </is>
      </c>
      <c r="K76" s="10" t="n"/>
      <c r="L76" s="10" t="n"/>
      <c r="M76" s="10" t="n"/>
      <c r="N76" s="10" t="n"/>
      <c r="O76" s="9" t="inlineStr">
        <is>
          <t>OFFICIAL SITE 2026-09-04: phone (423) 267-2181 RE-CONFIRMED on cmcrecycling.com's own Chattanooga page, address 2000 Washington St 37408 confirmed, hours Mon-Fri 8:00-15:30, sited off I-24. Scrap yard taking both commercial and walk-in loads - roll-off trucks and yard equipment, and the debris environment is hard on glass.</t>
        </is>
      </c>
    </row>
    <row r="77">
      <c r="A77" s="7" t="inlineStr">
        <is>
          <t>A</t>
        </is>
      </c>
      <c r="B77" s="9" t="inlineStr">
        <is>
          <t>Confirmed on company site</t>
        </is>
      </c>
      <c r="C77" s="9" t="inlineStr">
        <is>
          <t>Collegedale Academy</t>
        </is>
      </c>
      <c r="D77" s="9" t="inlineStr">
        <is>
          <t>K-12 Private School</t>
        </is>
      </c>
      <c r="E77" s="9" t="inlineStr">
        <is>
          <t>(423) 396-2124</t>
        </is>
      </c>
      <c r="F77" s="9" t="inlineStr">
        <is>
          <t>Collegedale</t>
        </is>
      </c>
      <c r="G77" s="9" t="inlineStr">
        <is>
          <t>4855 College Dr E</t>
        </is>
      </c>
      <c r="H77" s="9" t="inlineStr">
        <is>
          <t>37315</t>
        </is>
      </c>
      <c r="I77" s="9" t="inlineStr">
        <is>
          <t>marketing@collegedaleacademy.com</t>
        </is>
      </c>
      <c r="J77" s="9" t="inlineStr">
        <is>
          <t>collegedaleacademy.com</t>
        </is>
      </c>
      <c r="K77" s="10" t="n"/>
      <c r="L77" s="10" t="n"/>
      <c r="M77" s="10" t="n"/>
      <c r="N77" s="10" t="n"/>
      <c r="O77" s="9" t="inlineStr">
        <is>
          <t>OFFICIAL SITE 2026-09-04: phone (423) 396-2124, address 4855 College Dr E 37315 and marketing@collegedaleacademy.com ALL RE-CONFIRMED. Separate line for the Early Childhood Education Center: 423-396-2122, k-5registrar@collegedaleacademy.com. K-12 private school - activity buses and vans; ask for facilities or transportation, not the marketing mailbox on file.</t>
        </is>
      </c>
    </row>
    <row r="78">
      <c r="A78" s="7" t="inlineStr">
        <is>
          <t>A</t>
        </is>
      </c>
      <c r="B78" s="9" t="inlineStr">
        <is>
          <t>Confirmed on company site</t>
        </is>
      </c>
      <c r="C78" s="9" t="inlineStr">
        <is>
          <t>Collegedale Exxon</t>
        </is>
      </c>
      <c r="D78" s="9" t="inlineStr">
        <is>
          <t>Auto Repair / Towing / Gas Station</t>
        </is>
      </c>
      <c r="E78" s="9" t="inlineStr">
        <is>
          <t>(423) 396-3863</t>
        </is>
      </c>
      <c r="F78" s="9" t="inlineStr">
        <is>
          <t>Collegedale</t>
        </is>
      </c>
      <c r="G78" s="9" t="inlineStr">
        <is>
          <t>9416 Apison Pike</t>
        </is>
      </c>
      <c r="H78" s="9" t="inlineStr">
        <is>
          <t>37315</t>
        </is>
      </c>
      <c r="I78" s="9" t="n"/>
      <c r="J78" s="9" t="inlineStr">
        <is>
          <t>collegedaleexxon.com</t>
        </is>
      </c>
      <c r="K78" s="10" t="n"/>
      <c r="L78" s="10" t="n"/>
      <c r="M78" s="10" t="n"/>
      <c r="N78" s="10" t="n"/>
      <c r="O78" s="9" t="inlineStr">
        <is>
          <t>OFFICIAL SITE 2026-09-04: phone (423) 396-3863 RE-CONFIRMED, address 9416 Apison Pike 37315 confirmed. Fuel pumps 24/7 but the GARAGE is Mon-Thu 7:00-18:00, Fri 7:00-17:30, closed weekends - call weekday mornings. ASE-certified repair since 1974 plus their own towing service, so a wrecker as well as a shop full of other people's vehicles. Email only via site form.</t>
        </is>
      </c>
    </row>
    <row r="79">
      <c r="A79" s="7" t="inlineStr">
        <is>
          <t>A</t>
        </is>
      </c>
      <c r="B79" s="9" t="inlineStr">
        <is>
          <t>Confirmed on company site</t>
        </is>
      </c>
      <c r="C79" s="9" t="inlineStr">
        <is>
          <t>Collier Construction</t>
        </is>
      </c>
      <c r="D79" s="9" t="inlineStr">
        <is>
          <t>General Contractor / Homebuilder</t>
        </is>
      </c>
      <c r="E79" s="9" t="inlineStr">
        <is>
          <t>(423) 265-0110</t>
        </is>
      </c>
      <c r="F79" s="9" t="inlineStr">
        <is>
          <t>Chattanooga</t>
        </is>
      </c>
      <c r="G79" s="9" t="inlineStr">
        <is>
          <t>2500 East 18th Street</t>
        </is>
      </c>
      <c r="H79" s="9" t="inlineStr">
        <is>
          <t>37404</t>
        </is>
      </c>
      <c r="I79" s="9" t="inlineStr">
        <is>
          <t>info@collierbuild.com</t>
        </is>
      </c>
      <c r="J79" s="9" t="inlineStr">
        <is>
          <t>collierbuild.com</t>
        </is>
      </c>
      <c r="K79" s="10" t="n"/>
      <c r="L79" s="10" t="n"/>
      <c r="M79" s="10" t="n"/>
      <c r="N79" s="10" t="n"/>
      <c r="O79" s="9" t="inlineStr">
        <is>
          <t>OFFICIAL SITE 2026-09-04: phone (423) 265-0110, address 2500 East 18th Street 37404 and info@collierbuild.com ALL RE-CONFIRMED; fax (423) 265-0115. Ethan Collier has been developing in Chattanooga 20+ years and they run named developments of their own (Mill Town, WayPoint South, Reside North) - active sites mean superintendent trucks. Their team page is public, so the earlier steer stands: Ernie Freistat on the construction side is the one for a fleet conversation, not the CEO.</t>
        </is>
      </c>
    </row>
    <row r="80">
      <c r="A80" s="7" t="inlineStr">
        <is>
          <t>A</t>
        </is>
      </c>
      <c r="B80" s="9" t="inlineStr">
        <is>
          <t>Confirmed on company site</t>
        </is>
      </c>
      <c r="C80" s="9" t="inlineStr">
        <is>
          <t>Concrete Repair Specialist LLC</t>
        </is>
      </c>
      <c r="D80" s="9" t="inlineStr">
        <is>
          <t>Concrete Repair / Polished &amp; Decorative Concrete</t>
        </is>
      </c>
      <c r="E80" s="9" t="inlineStr">
        <is>
          <t>(423) 593-7413</t>
        </is>
      </c>
      <c r="F80" s="9" t="inlineStr">
        <is>
          <t>Chattanooga</t>
        </is>
      </c>
      <c r="G80" s="9" t="inlineStr">
        <is>
          <t>2201 East Main Street</t>
        </is>
      </c>
      <c r="H80" s="9" t="inlineStr">
        <is>
          <t>37404</t>
        </is>
      </c>
      <c r="I80" s="9" t="inlineStr">
        <is>
          <t>DavidGordon@ConcreteRepairSpecialist.com</t>
        </is>
      </c>
      <c r="J80" s="9" t="inlineStr">
        <is>
          <t>concreterepairspecialist.com</t>
        </is>
      </c>
      <c r="K80" s="10" t="n"/>
      <c r="L80" s="10" t="n"/>
      <c r="M80" s="10" t="n"/>
      <c r="N80" s="10" t="n"/>
      <c r="O80" s="9" t="inlineStr">
        <is>
          <t>OFFICIAL SITE 2026-09-04: phone (423) 593-7413, address 2201 East Main Street 37404 and DavidGordon@ConcreteRepairSpecialist.com ALL RE-CONFIRMED. Locally owned, serving greater Chattanooga since 2001; polished, stamped and decorative concrete, coatings and stains as well as repair. BY APPOINTMENT ONLY still holds - ring before turning up, and ask for David Gordon.</t>
        </is>
      </c>
    </row>
    <row r="81">
      <c r="A81" s="7" t="inlineStr">
        <is>
          <t>A</t>
        </is>
      </c>
      <c r="B81" s="9" t="inlineStr">
        <is>
          <t>Confirmed on company site</t>
        </is>
      </c>
      <c r="C81" s="9" t="inlineStr">
        <is>
          <t>Cook's Pest Control - Chattanooga Branch</t>
        </is>
      </c>
      <c r="D81" s="9" t="inlineStr">
        <is>
          <t>Pest Control</t>
        </is>
      </c>
      <c r="E81" s="9" t="inlineStr">
        <is>
          <t>(423) 629-2563</t>
        </is>
      </c>
      <c r="F81" s="9" t="inlineStr">
        <is>
          <t>Chattanooga</t>
        </is>
      </c>
      <c r="G81" s="9" t="inlineStr">
        <is>
          <t>4735 Bonny Oaks Dr</t>
        </is>
      </c>
      <c r="H81" s="9" t="inlineStr">
        <is>
          <t>37416</t>
        </is>
      </c>
      <c r="I81" s="9" t="n"/>
      <c r="J81" s="9" t="inlineStr">
        <is>
          <t>cookspest.com</t>
        </is>
      </c>
      <c r="K81" s="10" t="n"/>
      <c r="L81" s="10" t="n"/>
      <c r="M81" s="10" t="n"/>
      <c r="N81" s="10" t="n"/>
      <c r="O81" s="9" t="inlineStr">
        <is>
          <t>OFFICIAL SITE 2026-09-04: phone (423) 629-2563 RE-CONFIRMED on cookspest.com's own Chattanooga branch page, with 4735 Bonny Oaks Dr and Mon-Fri 8-5. Their page gives the ZIP as 37416, not the 37406 on file - corrected. Regional pest company running a large branded route-truck fleet out of this branch.</t>
        </is>
      </c>
    </row>
    <row r="82">
      <c r="A82" s="7" t="inlineStr">
        <is>
          <t>A</t>
        </is>
      </c>
      <c r="B82" s="9" t="inlineStr">
        <is>
          <t>Confirmed on company site</t>
        </is>
      </c>
      <c r="C82" s="9" t="inlineStr">
        <is>
          <t>CRETESTAR</t>
        </is>
      </c>
      <c r="D82" s="9" t="inlineStr">
        <is>
          <t>Decorative &amp; Industrial Concrete Coatings</t>
        </is>
      </c>
      <c r="E82" s="9" t="inlineStr">
        <is>
          <t>(423) 710-9200</t>
        </is>
      </c>
      <c r="F82" s="9" t="inlineStr">
        <is>
          <t>Chattanooga</t>
        </is>
      </c>
      <c r="G82" s="9" t="inlineStr">
        <is>
          <t>4311 7th Avenue</t>
        </is>
      </c>
      <c r="H82" s="9" t="inlineStr">
        <is>
          <t>37407</t>
        </is>
      </c>
      <c r="I82" s="9" t="n"/>
      <c r="J82" s="9" t="inlineStr">
        <is>
          <t>cretestar.us</t>
        </is>
      </c>
      <c r="K82" s="10" t="n"/>
      <c r="L82" s="10" t="n"/>
      <c r="M82" s="10" t="n"/>
      <c r="N82" s="10" t="n"/>
      <c r="O82" s="9" t="inlineStr">
        <is>
          <t>OFFICIAL SITE 2026-09-04: phone (423) 710-9200 and address 4311 7th Avenue 37407 RE-CONFIRMED on cretestar.us. Three-state coverage confirmed on their own contact page - north Georgia, north Alabama and east Tennessee. Epoxy and urethane coatings, trowel-down aggregate, densifiers, ESD coatings, polished and stained concrete, resurfacing and surface prep, industrial through residential. Coating rigs and surface-prep equipment travelling in box trucks. Note row 572, Lane Steel Fabricators, shares this 7th Avenue address.</t>
        </is>
      </c>
    </row>
    <row r="83">
      <c r="A83" s="7" t="inlineStr">
        <is>
          <t>A</t>
        </is>
      </c>
      <c r="B83" s="9" t="inlineStr">
        <is>
          <t>Confirmed on company site</t>
        </is>
      </c>
      <c r="C83" s="9" t="inlineStr">
        <is>
          <t>Crider Landscaping</t>
        </is>
      </c>
      <c r="D83" s="9" t="inlineStr">
        <is>
          <t>Landscaping</t>
        </is>
      </c>
      <c r="E83" s="9" t="inlineStr">
        <is>
          <t>(423) 708-5646</t>
        </is>
      </c>
      <c r="F83" s="9" t="inlineStr">
        <is>
          <t>Soddy-Daisy</t>
        </is>
      </c>
      <c r="G83" s="9" t="inlineStr">
        <is>
          <t>1645 Wendy Circle</t>
        </is>
      </c>
      <c r="H83" s="9" t="inlineStr">
        <is>
          <t>37379</t>
        </is>
      </c>
      <c r="I83" s="9" t="inlineStr">
        <is>
          <t>office@criderslandscaping.com</t>
        </is>
      </c>
      <c r="J83" s="9" t="inlineStr">
        <is>
          <t>criderslandscaping.com</t>
        </is>
      </c>
      <c r="K83" s="10" t="n"/>
      <c r="L83" s="10" t="n"/>
      <c r="M83" s="10" t="n"/>
      <c r="N83" s="10" t="n"/>
      <c r="O83" s="9" t="inlineStr">
        <is>
          <t>OFFICIAL SITE 2026-09-04: phone (423) 708-5646 RE-CONFIRMED on criderslandscaping.com's own contact page, along with Office@Criderslandscaping.com and hours Mon-Fri 8:00-18:00. ADDRESS DOES NOT MATCH: the only address they publish is P.O. Box 1511, HIXSON TN 37343 - a mailing box, not the 1645 Wendy Circle, Soddy-Daisy 37379 on file, which has no source. Property maintenance, landscape design and installation, hardscapes and outdoor kitchens, holiday lighting and tree work across Chattanooga, Hixson, Soddy-Daisy and Red Bank - mowing crews plus construction trucks and trailers.</t>
        </is>
      </c>
    </row>
    <row r="84">
      <c r="A84" s="7" t="inlineStr">
        <is>
          <t>A</t>
        </is>
      </c>
      <c r="B84" s="9" t="inlineStr">
        <is>
          <t>Confirmed on company site</t>
        </is>
      </c>
      <c r="C84" s="9" t="inlineStr">
        <is>
          <t>Crockett Powersports</t>
        </is>
      </c>
      <c r="D84" s="9" t="inlineStr">
        <is>
          <t>Motorcycle / Powersports Dealer</t>
        </is>
      </c>
      <c r="E84" s="9" t="inlineStr">
        <is>
          <t>(423) 760-3670</t>
        </is>
      </c>
      <c r="F84" s="9" t="inlineStr">
        <is>
          <t>Chattanooga</t>
        </is>
      </c>
      <c r="G84" s="9" t="inlineStr">
        <is>
          <t>4113 S Access Rd</t>
        </is>
      </c>
      <c r="H84" s="9" t="inlineStr">
        <is>
          <t>37406</t>
        </is>
      </c>
      <c r="I84" s="9" t="n"/>
      <c r="J84" s="9" t="inlineStr">
        <is>
          <t>crockettpowersports.com</t>
        </is>
      </c>
      <c r="K84" s="10" t="n"/>
      <c r="L84" s="10" t="n"/>
      <c r="M84" s="10" t="n"/>
      <c r="N84" s="10" t="n"/>
      <c r="O84" s="9" t="inlineStr">
        <is>
          <t>OFFICIAL SITE 2026-09-04: phone (423) 760-3670 RE-CONFIRMED - it runs in the title of every page on their site. Address 4113 S Access Rd 37406 confirmed, hours Tue-Fri 9:00-18:00, Sat 9:00-17:00, closed Sun-Mon. Their line covers Indian, KTM, Yamaha, CFMOTO, Harley-Davidson, Slingshot and Motus, and they have their own service department - the Slingshot side means actual windshields, not just fairings.</t>
        </is>
      </c>
    </row>
    <row r="85">
      <c r="A85" s="7" t="inlineStr">
        <is>
          <t>A</t>
        </is>
      </c>
      <c r="B85" s="9" t="inlineStr">
        <is>
          <t>Confirmed on company site</t>
        </is>
      </c>
      <c r="C85" s="9" t="inlineStr">
        <is>
          <t>Cut Right Tree Service</t>
        </is>
      </c>
      <c r="D85" s="9" t="inlineStr">
        <is>
          <t>Tree Service / Crane Work</t>
        </is>
      </c>
      <c r="E85" s="9" t="inlineStr">
        <is>
          <t>(423) 260-1238</t>
        </is>
      </c>
      <c r="F85" s="9" t="inlineStr">
        <is>
          <t>Chattanooga</t>
        </is>
      </c>
      <c r="G85" s="9" t="inlineStr">
        <is>
          <t>3115 Curtis St</t>
        </is>
      </c>
      <c r="H85" s="9" t="inlineStr">
        <is>
          <t>37406</t>
        </is>
      </c>
      <c r="I85" s="9" t="n"/>
      <c r="J85" s="9" t="inlineStr">
        <is>
          <t>cutrighttreeservice.com</t>
        </is>
      </c>
      <c r="K85" s="10" t="n"/>
      <c r="L85" s="10" t="n"/>
      <c r="M85" s="10" t="n"/>
      <c r="N85" s="10" t="n"/>
      <c r="O85" s="9" t="inlineStr">
        <is>
          <t>OFFICIAL SITE 2026-09-04: phone (423) 260-1238 RE-CONFIRMED on cutrighttreeservice.com's own contact page, address 3115 Curtis St 37406 confirmed. 24/7 emergency tree service with a dedicated crane-services division - crane trucks, chip trucks and bucket trucks, and tree work is about as hard on windshields as the trade gets.</t>
        </is>
      </c>
    </row>
    <row r="86">
      <c r="A86" s="7" t="inlineStr">
        <is>
          <t>A</t>
        </is>
      </c>
      <c r="B86" s="9" t="inlineStr">
        <is>
          <t>Confirmed on company site</t>
        </is>
      </c>
      <c r="C86" s="9" t="inlineStr">
        <is>
          <t>D &amp; G Roofing Specialists, LLC</t>
        </is>
      </c>
      <c r="D86" s="9" t="inlineStr">
        <is>
          <t>Roofing Contractor</t>
        </is>
      </c>
      <c r="E86" s="9" t="inlineStr">
        <is>
          <t>(423) 987-7529</t>
        </is>
      </c>
      <c r="F86" s="9" t="inlineStr">
        <is>
          <t>Chattanooga</t>
        </is>
      </c>
      <c r="G86" s="9" t="inlineStr">
        <is>
          <t>2016 Dayton Blvd</t>
        </is>
      </c>
      <c r="H86" s="9" t="inlineStr">
        <is>
          <t>37415</t>
        </is>
      </c>
      <c r="I86" s="9" t="n"/>
      <c r="J86" s="9" t="inlineStr">
        <is>
          <t>dgroofingco.com</t>
        </is>
      </c>
      <c r="K86" s="10" t="n"/>
      <c r="L86" s="10" t="n"/>
      <c r="M86" s="10" t="n"/>
      <c r="N86" s="10" t="n"/>
      <c r="O86" s="9" t="inlineStr">
        <is>
          <t>OFFICIAL SITE 2026-09-04: phone (423) 987-7529 RE-CONFIRMED and address 2016 Dayton Blvd, Chattanooga confirmed - both 09-03 corrections hold, including the move from Signal Mountain to Chattanooga. Roofing plus siding, decks and painting, so crew trucks on residential job sites.</t>
        </is>
      </c>
    </row>
    <row r="87">
      <c r="A87" s="7" t="inlineStr">
        <is>
          <t>A</t>
        </is>
      </c>
      <c r="B87" s="9" t="inlineStr">
        <is>
          <t>Confirmed on company site</t>
        </is>
      </c>
      <c r="C87" s="9" t="inlineStr">
        <is>
          <t>DBS Corporation - General Contractor</t>
        </is>
      </c>
      <c r="D87" s="9" t="inlineStr">
        <is>
          <t>Commercial &amp; Retail General Contractor</t>
        </is>
      </c>
      <c r="E87" s="9" t="inlineStr">
        <is>
          <t>(423) 752-1302</t>
        </is>
      </c>
      <c r="F87" s="9" t="inlineStr">
        <is>
          <t>Chattanooga</t>
        </is>
      </c>
      <c r="G87" s="9" t="inlineStr">
        <is>
          <t>25 West 20th Street</t>
        </is>
      </c>
      <c r="H87" s="9" t="inlineStr">
        <is>
          <t>37408</t>
        </is>
      </c>
      <c r="I87" s="9" t="n"/>
      <c r="J87" s="9" t="inlineStr">
        <is>
          <t>dbscorporation.com</t>
        </is>
      </c>
      <c r="K87" s="10" t="n"/>
      <c r="L87" s="10" t="n"/>
      <c r="M87" s="10" t="n"/>
      <c r="N87" s="10" t="n"/>
      <c r="O87" s="9" t="inlineStr">
        <is>
          <t>OFFICIAL SITE 2026-09-04: phone (423) 752-1302 and address 25 West 20th Street 37408 RE-CONFIRMED on dbscorporation.com. Their own description confirms the reach: commercial and retail construction across the SOUTHEAST, MIDWEST AND MID-ATLANTIC - superintendents driving serious miles. They publish a Team page and a Bid Opportunities page, both useful. CAUTION STANDS: their downloads folder is still serving spam pages, so the site needs patching; that is a hygiene problem, not a reflection on the business.</t>
        </is>
      </c>
    </row>
    <row r="88">
      <c r="A88" s="7" t="inlineStr">
        <is>
          <t>A</t>
        </is>
      </c>
      <c r="B88" s="9" t="inlineStr">
        <is>
          <t>Confirmed on company site</t>
        </is>
      </c>
      <c r="C88" s="9" t="inlineStr">
        <is>
          <t>Dealers Auto Auction Chattanooga</t>
        </is>
      </c>
      <c r="D88" s="9" t="inlineStr">
        <is>
          <t>Vehicle Auction</t>
        </is>
      </c>
      <c r="E88" s="9" t="inlineStr">
        <is>
          <t>(423) 499-0015</t>
        </is>
      </c>
      <c r="F88" s="9" t="inlineStr">
        <is>
          <t>Chattanooga</t>
        </is>
      </c>
      <c r="G88" s="9" t="inlineStr">
        <is>
          <t>2120 Stein Dr</t>
        </is>
      </c>
      <c r="H88" s="9" t="inlineStr">
        <is>
          <t>37421</t>
        </is>
      </c>
      <c r="I88" s="9" t="n"/>
      <c r="J88" s="9" t="inlineStr">
        <is>
          <t>dealersauto.com</t>
        </is>
      </c>
      <c r="K88" s="10" t="n"/>
      <c r="L88" s="10" t="n"/>
      <c r="M88" s="10" t="n"/>
      <c r="N88" s="10" t="n"/>
      <c r="O88" s="9" t="inlineStr">
        <is>
          <t>OFFICIAL SITE: phone (423) 499-0015 and 2120 Stein Dr RE-CONFIRMED 2026-09-04. Part of the Dealers Auto Auction Group (Chattanooga, Mobile and other markets). Auction lanes mean a steady stream of trade-ins with damaged glass that must be made saleable - strong recon prospect.</t>
        </is>
      </c>
    </row>
    <row r="89">
      <c r="A89" s="7" t="inlineStr">
        <is>
          <t>A</t>
        </is>
      </c>
      <c r="B89" s="9" t="inlineStr">
        <is>
          <t>Confirmed on company site</t>
        </is>
      </c>
      <c r="C89" s="9" t="inlineStr">
        <is>
          <t>DEXTER W. WHITE CONSTRUCTION, LLC</t>
        </is>
      </c>
      <c r="D89" s="9" t="inlineStr">
        <is>
          <t>Construction</t>
        </is>
      </c>
      <c r="E89" s="9" t="inlineStr">
        <is>
          <t>(423) 843-0033</t>
        </is>
      </c>
      <c r="F89" s="9" t="inlineStr">
        <is>
          <t>Chattanooga</t>
        </is>
      </c>
      <c r="G89" s="9" t="inlineStr">
        <is>
          <t>3412 Dayton Blvd</t>
        </is>
      </c>
      <c r="H89" s="9" t="n"/>
      <c r="I89" s="9" t="inlineStr">
        <is>
          <t>info@dexterwhiteconstruction.com</t>
        </is>
      </c>
      <c r="J89" s="9" t="inlineStr">
        <is>
          <t>dexterwhiteconstruction.com</t>
        </is>
      </c>
      <c r="K89" s="10" t="n"/>
      <c r="L89" s="10" t="n"/>
      <c r="M89" s="10" t="n"/>
      <c r="N89" s="10" t="n"/>
      <c r="O89" s="9" t="inlineStr">
        <is>
          <t>OFFICIAL SITE 2026-09-04: phone (423) 843-0033 RE-CONFIRMED against 3412 Dayton Blvd on their own contact page, and info@dexterwhiteconstruction.com holds. Their site does not publish a ZIP, so that stays blank rather than guessed. Dayton Blvd puts them on the Red Bank/Hixson corridor, close to you, and the 843 prefix is local - an easy first call.</t>
        </is>
      </c>
    </row>
    <row r="90">
      <c r="A90" s="7" t="inlineStr">
        <is>
          <t>A</t>
        </is>
      </c>
      <c r="B90" s="9" t="inlineStr">
        <is>
          <t>Confirmed on company site</t>
        </is>
      </c>
      <c r="C90" s="9" t="inlineStr">
        <is>
          <t>Dillard Construction Inc</t>
        </is>
      </c>
      <c r="D90" s="9" t="inlineStr">
        <is>
          <t>Commercial Contracting / Construction Management</t>
        </is>
      </c>
      <c r="E90" s="9" t="inlineStr">
        <is>
          <t>(423) 634-9959</t>
        </is>
      </c>
      <c r="F90" s="9" t="inlineStr">
        <is>
          <t>Chattanooga</t>
        </is>
      </c>
      <c r="G90" s="9" t="inlineStr">
        <is>
          <t>1101 Broad Street</t>
        </is>
      </c>
      <c r="H90" s="9" t="inlineStr">
        <is>
          <t>37408</t>
        </is>
      </c>
      <c r="I90" s="9" t="n"/>
      <c r="J90" s="9" t="inlineStr">
        <is>
          <t>dillardconstruction.com</t>
        </is>
      </c>
      <c r="K90" s="10" t="n"/>
      <c r="L90" s="10" t="n"/>
      <c r="M90" s="10" t="n"/>
      <c r="N90" s="10" t="n"/>
      <c r="O90" s="9" t="inlineStr">
        <is>
          <t>OFFICIAL SITE 2026-09-04: phone (423) 634-9959 and address 1101 Broad Street 37408 RE-CONFIRMED. 30+ years in commercial contracting, construction management, design-build and development. THE ADJACENCY IS REAL AND ON THEIR OWN SITE: they run a dedicated AUTOMOTIVE page - they build car dealerships - alongside office and schools work. That makes them worth a call for their own superintendent trucks and worth a conversation about who they build for. No email published.</t>
        </is>
      </c>
    </row>
    <row r="91">
      <c r="A91" s="7" t="inlineStr">
        <is>
          <t>A</t>
        </is>
      </c>
      <c r="B91" s="9" t="inlineStr">
        <is>
          <t>Confirmed on company site</t>
        </is>
      </c>
      <c r="C91" s="9" t="inlineStr">
        <is>
          <t>Doug Yates Towing &amp; Recovery, LLC</t>
        </is>
      </c>
      <c r="D91" s="9" t="inlineStr">
        <is>
          <t>Heavy Duty Towing &amp; Recovery</t>
        </is>
      </c>
      <c r="E91" s="9" t="inlineStr">
        <is>
          <t>(423) 629-6621</t>
        </is>
      </c>
      <c r="F91" s="9" t="inlineStr">
        <is>
          <t>Chattanooga</t>
        </is>
      </c>
      <c r="G91" s="9" t="inlineStr">
        <is>
          <t>2306 East 23rd St</t>
        </is>
      </c>
      <c r="H91" s="9" t="inlineStr">
        <is>
          <t>37407</t>
        </is>
      </c>
      <c r="I91" s="9" t="n"/>
      <c r="J91" s="9" t="inlineStr">
        <is>
          <t>yateswrecker.com</t>
        </is>
      </c>
      <c r="K91" s="10" t="n"/>
      <c r="L91" s="10" t="n"/>
      <c r="M91" s="10" t="n"/>
      <c r="N91" s="10" t="n"/>
      <c r="O91" s="9" t="inlineStr">
        <is>
          <t>OFFICIAL SITE 2026-09-04: phone (423) 629-6621 RE-CONFIRMED, but the ADDRESS IS CORRECTED - their own contact page gives 2306 East 23rd St 37407, not the 2220 on file. THE FLEET NUMBER IS PUBLISHED AND IT IS BIG: over 50 TRUCKS, on their own site, founded 1946 and trading 75+ years as heavy-duty towing and recovery specialists, 24/7, across six locations. They even run an Our Fleet page. Recovery work happens in ditches and on shoulders, which breaks glass. This is the strongest single prospect confirmed in this sweep - call it first.</t>
        </is>
      </c>
    </row>
    <row r="92">
      <c r="A92" s="7" t="inlineStr">
        <is>
          <t>A</t>
        </is>
      </c>
      <c r="B92" s="9" t="inlineStr">
        <is>
          <t>Confirmed on company site</t>
        </is>
      </c>
      <c r="C92" s="9" t="inlineStr">
        <is>
          <t>Dyna-Tech Gutter Solutions</t>
        </is>
      </c>
      <c r="D92" s="9" t="inlineStr">
        <is>
          <t>Seamless Gutters &amp; Guards</t>
        </is>
      </c>
      <c r="E92" s="9" t="inlineStr">
        <is>
          <t>(423) 551-4663</t>
        </is>
      </c>
      <c r="F92" s="9" t="inlineStr">
        <is>
          <t>Chattanooga</t>
        </is>
      </c>
      <c r="G92" s="9" t="inlineStr">
        <is>
          <t>6234 Perimeter Drive, Suite G102</t>
        </is>
      </c>
      <c r="H92" s="9" t="inlineStr">
        <is>
          <t>37421</t>
        </is>
      </c>
      <c r="I92" s="9" t="n"/>
      <c r="J92" s="9" t="inlineStr">
        <is>
          <t>dynatechgs.com</t>
        </is>
      </c>
      <c r="K92" s="10" t="n"/>
      <c r="L92" s="10" t="n"/>
      <c r="M92" s="10" t="n"/>
      <c r="N92" s="10" t="n"/>
      <c r="O92" s="9" t="inlineStr">
        <is>
          <t>OFFICIAL SITE 2026-09-04: phone (423) 551-4663 and address 6234 Perimeter Drive 37421 RE-CONFIRMED, hours Mon-Fri 8:00-17:00, closed weekends. Seamless gutters, gutter guards, repair, cleaning and maintenance - gutter rigs carry a brake press on the rack, so the truck is the workshop. Email on the site is still obfuscated; phone is the way in.</t>
        </is>
      </c>
    </row>
    <row r="93">
      <c r="A93" s="7" t="inlineStr">
        <is>
          <t>A</t>
        </is>
      </c>
      <c r="B93" s="9" t="inlineStr">
        <is>
          <t>Confirmed on company site</t>
        </is>
      </c>
      <c r="C93" s="9" t="inlineStr">
        <is>
          <t>Economy Honda Superstore</t>
        </is>
      </c>
      <c r="D93" s="9" t="inlineStr">
        <is>
          <t>Auto Dealership</t>
        </is>
      </c>
      <c r="E93" s="9" t="inlineStr">
        <is>
          <t>(855) 225-0161</t>
        </is>
      </c>
      <c r="F93" s="9" t="inlineStr">
        <is>
          <t>Chattanooga</t>
        </is>
      </c>
      <c r="G93" s="9" t="inlineStr">
        <is>
          <t>6001 Lee Highway</t>
        </is>
      </c>
      <c r="H93" s="9" t="inlineStr">
        <is>
          <t>37421</t>
        </is>
      </c>
      <c r="I93" s="9" t="n"/>
      <c r="J93" s="9" t="inlineStr">
        <is>
          <t>economyhonda.com</t>
        </is>
      </c>
      <c r="K93" s="10" t="n"/>
      <c r="L93" s="10" t="n"/>
      <c r="M93" s="10" t="n"/>
      <c r="N93" s="10" t="n"/>
      <c r="O93" s="9" t="inlineStr">
        <is>
          <t>Phone re-checked 2026-09-04 against their own site - unchanged and correct. One number covers sales and service. Service department is the door that matters for glass.</t>
        </is>
      </c>
    </row>
    <row r="94">
      <c r="A94" s="7" t="inlineStr">
        <is>
          <t>A</t>
        </is>
      </c>
      <c r="B94" s="9" t="inlineStr">
        <is>
          <t>Confirmed on company site</t>
        </is>
      </c>
      <c r="C94" s="9" t="inlineStr">
        <is>
          <t>Elevated Exteriors</t>
        </is>
      </c>
      <c r="D94" s="9" t="inlineStr">
        <is>
          <t>Commercial &amp; Residential Roofing</t>
        </is>
      </c>
      <c r="E94" s="9" t="inlineStr">
        <is>
          <t>(423) 605-4807</t>
        </is>
      </c>
      <c r="F94" s="9" t="inlineStr">
        <is>
          <t>Chattanooga</t>
        </is>
      </c>
      <c r="G94" s="9" t="n"/>
      <c r="H94" s="9" t="n"/>
      <c r="I94" s="9" t="n"/>
      <c r="J94" s="9" t="inlineStr">
        <is>
          <t>elevatedexteriors.org</t>
        </is>
      </c>
      <c r="K94" s="10" t="n"/>
      <c r="L94" s="10" t="n"/>
      <c r="M94" s="10" t="n"/>
      <c r="N94" s="10" t="n"/>
      <c r="O94" s="9" t="inlineStr">
        <is>
          <t>OFFICIAL SITE 2026-09-04: phone (423) 605-4807 RE-CONFIRMED on elevatedexteriors.org. Residential roof replacement and repair plus a separate commercial roofing line for Chattanooga. Still no street address published, so that line stays blank. Roofing crews run loaded trucks; the number is the way in.</t>
        </is>
      </c>
    </row>
    <row r="95">
      <c r="A95" s="7" t="inlineStr">
        <is>
          <t>A</t>
        </is>
      </c>
      <c r="B95" s="9" t="inlineStr">
        <is>
          <t>Confirmed on company site</t>
        </is>
      </c>
      <c r="C95" s="9" t="inlineStr">
        <is>
          <t>Embark Project Services, LLC</t>
        </is>
      </c>
      <c r="D95" s="9" t="inlineStr">
        <is>
          <t>General Contractor / MEP / Handyman Services</t>
        </is>
      </c>
      <c r="E95" s="9" t="inlineStr">
        <is>
          <t>(423) 208-9897</t>
        </is>
      </c>
      <c r="F95" s="9" t="inlineStr">
        <is>
          <t>Chattanooga</t>
        </is>
      </c>
      <c r="G95" s="9" t="inlineStr">
        <is>
          <t>6223 Airpark Dr, Suite 101</t>
        </is>
      </c>
      <c r="H95" s="9" t="inlineStr">
        <is>
          <t>37421</t>
        </is>
      </c>
      <c r="I95" s="9" t="n"/>
      <c r="J95" s="9" t="inlineStr">
        <is>
          <t>embarkps.com</t>
        </is>
      </c>
      <c r="K95" s="10" t="n"/>
      <c r="L95" s="10" t="n"/>
      <c r="M95" s="10" t="n"/>
      <c r="N95" s="10" t="n"/>
      <c r="O95" s="9" t="inlineStr">
        <is>
          <t>OFFICIAL SITE 2026-09-04: phone (423) 208-9897 and address 6223 Airpark Dr Suite 101, 37421 RE-CONFIRMED on their own contact page. IN-HOUSE TRADES CONFIRMED: they run their own plumbing, electrical, MEP, concrete and handyman pages rather than subbing it out, which is what makes this a real service-van fleet rather than a paper contractor. Commercial and residential. No email published.</t>
        </is>
      </c>
    </row>
    <row r="96">
      <c r="A96" s="7" t="inlineStr">
        <is>
          <t>A</t>
        </is>
      </c>
      <c r="B96" s="9" t="inlineStr">
        <is>
          <t>Confirmed on company site</t>
        </is>
      </c>
      <c r="C96" s="9" t="inlineStr">
        <is>
          <t>Enterprise Rent-A-Car (Hixson)</t>
        </is>
      </c>
      <c r="D96" s="9" t="inlineStr">
        <is>
          <t>Car Rental</t>
        </is>
      </c>
      <c r="E96" s="9" t="inlineStr">
        <is>
          <t>(423) 877-5559</t>
        </is>
      </c>
      <c r="F96" s="9" t="inlineStr">
        <is>
          <t>Hixson</t>
        </is>
      </c>
      <c r="G96" s="9" t="inlineStr">
        <is>
          <t>4514 Hixson Pike</t>
        </is>
      </c>
      <c r="H96" s="9" t="inlineStr">
        <is>
          <t>37343</t>
        </is>
      </c>
      <c r="I96" s="9" t="n"/>
      <c r="J96" s="9" t="inlineStr">
        <is>
          <t>enterprise.com</t>
        </is>
      </c>
      <c r="K96" s="10" t="n"/>
      <c r="L96" s="10" t="n"/>
      <c r="M96" s="10" t="n"/>
      <c r="N96" s="10" t="n"/>
      <c r="O96" s="9" t="inlineStr">
        <is>
          <t>OFFICIAL SITE 2026-09-04: phone (423) 877-5559 RE-CONFIRMED on enterprise.com's own Chattanooga-Hixson branch page, address 4514 Hixson Pike confirmed. A rental fleet turns glass over constantly - still one of the strongest prospects in Hixson. UNWORKED PROSPECTS STAND: the same locations list carries Downtown Chattanooga and Chattanooga Metropolitan Airport branches not in the sheet, alongside the Lee Hwy branch that is.</t>
        </is>
      </c>
    </row>
    <row r="97">
      <c r="A97" s="7" t="inlineStr">
        <is>
          <t>A</t>
        </is>
      </c>
      <c r="B97" s="9" t="inlineStr">
        <is>
          <t>Confirmed on company site</t>
        </is>
      </c>
      <c r="C97" s="9" t="inlineStr">
        <is>
          <t>Enterprise Rent-A-Car (Lee Hwy)</t>
        </is>
      </c>
      <c r="D97" s="9" t="inlineStr">
        <is>
          <t>Car Rental</t>
        </is>
      </c>
      <c r="E97" s="9" t="inlineStr">
        <is>
          <t>(423) 899-2633</t>
        </is>
      </c>
      <c r="F97" s="9" t="inlineStr">
        <is>
          <t>Chattanooga</t>
        </is>
      </c>
      <c r="G97" s="9" t="inlineStr">
        <is>
          <t>5912 Lee Hwy</t>
        </is>
      </c>
      <c r="H97" s="9" t="inlineStr">
        <is>
          <t>37421</t>
        </is>
      </c>
      <c r="I97" s="9" t="n"/>
      <c r="J97" s="9" t="inlineStr">
        <is>
          <t>enterprise.com</t>
        </is>
      </c>
      <c r="K97" s="10" t="n"/>
      <c r="L97" s="10" t="n"/>
      <c r="M97" s="10" t="n"/>
      <c r="N97" s="10" t="n"/>
      <c r="O97" s="9" t="inlineStr">
        <is>
          <t>OFFICIAL SITE: phone (423) 899-2633 and 5912 Lee Hwy RE-CONFIRMED 2026-09-04 (branch 5630). NOTE: Enterprise runs at least five separate branches in Hamilton County - Lee Hwy, Downtown, Chapman Rd, Hixson and the Airport - each with its own number. Only this one is in the workbook; the other four are unworked prospects with their own damaged-fleet volume.</t>
        </is>
      </c>
    </row>
    <row r="98">
      <c r="A98" s="7" t="inlineStr">
        <is>
          <t>A</t>
        </is>
      </c>
      <c r="B98" s="9" t="inlineStr">
        <is>
          <t>Confirmed on company site</t>
        </is>
      </c>
      <c r="C98" s="9" t="inlineStr">
        <is>
          <t>EPB (Electric Power Board of Chattanooga)</t>
        </is>
      </c>
      <c r="D98" s="9" t="inlineStr">
        <is>
          <t>Utility (Electric/Fiber)</t>
        </is>
      </c>
      <c r="E98" s="9" t="inlineStr">
        <is>
          <t>(423) 648-1372</t>
        </is>
      </c>
      <c r="F98" s="9" t="inlineStr">
        <is>
          <t>Chattanooga</t>
        </is>
      </c>
      <c r="G98" s="9" t="inlineStr">
        <is>
          <t>10 W ML King Blvd</t>
        </is>
      </c>
      <c r="H98" s="9" t="inlineStr">
        <is>
          <t>37402</t>
        </is>
      </c>
      <c r="I98" s="9" t="inlineStr">
        <is>
          <t>customerservice@epb.net</t>
        </is>
      </c>
      <c r="J98" s="9" t="inlineStr">
        <is>
          <t>epb.com</t>
        </is>
      </c>
      <c r="K98" s="10" t="n"/>
      <c r="L98" s="10" t="n"/>
      <c r="M98" s="10" t="n"/>
      <c r="N98" s="10" t="n"/>
      <c r="O98" s="9" t="inlineStr">
        <is>
          <t>OFFICIAL SITE: phone (423) 648-1372 RE-CONFIRMED 2026-09-04 - it is their published general number, which they advertise as (423) 648-1EPB (1EPB spells 1372). Business fibre support is 423-648-1500. Downtown corporate office 10 W ML King Blvd confirmed. EPB runs a large utility fleet including bucket trucks - line trucks take rock damage constantly - and buys through formal procurement.</t>
        </is>
      </c>
    </row>
    <row r="99">
      <c r="A99" s="7" t="inlineStr">
        <is>
          <t>A</t>
        </is>
      </c>
      <c r="B99" s="9" t="inlineStr">
        <is>
          <t>Confirmed on company site</t>
        </is>
      </c>
      <c r="C99" s="9" t="inlineStr">
        <is>
          <t>Erlanger Health System</t>
        </is>
      </c>
      <c r="D99" s="9" t="inlineStr">
        <is>
          <t>Hospital System</t>
        </is>
      </c>
      <c r="E99" s="9" t="inlineStr">
        <is>
          <t>(423) 778-7000</t>
        </is>
      </c>
      <c r="F99" s="9" t="inlineStr">
        <is>
          <t>Chattanooga</t>
        </is>
      </c>
      <c r="G99" s="9" t="inlineStr">
        <is>
          <t>975 E 3rd St</t>
        </is>
      </c>
      <c r="H99" s="9" t="inlineStr">
        <is>
          <t>37403</t>
        </is>
      </c>
      <c r="I99" s="9" t="n"/>
      <c r="J99" s="9" t="inlineStr">
        <is>
          <t>erlanger.org</t>
        </is>
      </c>
      <c r="K99" s="10" t="n"/>
      <c r="L99" s="10" t="n"/>
      <c r="M99" s="10" t="n"/>
      <c r="N99" s="10" t="n"/>
      <c r="O99" s="9" t="inlineStr">
        <is>
          <t>OFFICIAL SITE: phone (423) 778-7000 and 975 E 3rd St RE-CONFIRMED EXACTLY 2026-09-04. This is Erlanger Baroness Hospital, the system HQ where the leadership and administrative offices sit. Fleet is shuttles, patient-transport vans and security vehicles across several campuses; ask for facilities or transportation services, not the main desk.</t>
        </is>
      </c>
    </row>
    <row r="100">
      <c r="A100" s="7" t="inlineStr">
        <is>
          <t>A</t>
        </is>
      </c>
      <c r="B100" s="9" t="inlineStr">
        <is>
          <t>Confirmed on company site</t>
        </is>
      </c>
      <c r="C100" s="9" t="inlineStr">
        <is>
          <t>Evernest Property Management - Chattanooga</t>
        </is>
      </c>
      <c r="D100" s="9" t="inlineStr">
        <is>
          <t>Property Management</t>
        </is>
      </c>
      <c r="E100" s="9" t="inlineStr">
        <is>
          <t>(423) 648-7368</t>
        </is>
      </c>
      <c r="F100" s="9" t="inlineStr">
        <is>
          <t>Chattanooga</t>
        </is>
      </c>
      <c r="G100" s="9" t="inlineStr">
        <is>
          <t>1418 McCallie Ave</t>
        </is>
      </c>
      <c r="H100" s="9" t="inlineStr">
        <is>
          <t>37404</t>
        </is>
      </c>
      <c r="I100" s="9" t="inlineStr">
        <is>
          <t>support@evernest.co</t>
        </is>
      </c>
      <c r="J100" s="9" t="inlineStr">
        <is>
          <t>evernest.co</t>
        </is>
      </c>
      <c r="K100" s="10" t="n"/>
      <c r="L100" s="10" t="n"/>
      <c r="M100" s="10" t="n"/>
      <c r="N100" s="10" t="n"/>
      <c r="O100" s="9" t="inlineStr">
        <is>
          <t>OFFICIAL SITE 2026-09-04: phone (423) 648-7368 RE-CONFIRMED on evernest.co's own Chattanooga location page, address 1418 McCallie Ave 37404 confirmed. National single-family manager with a local maintenance arm; the maintenance coordinator, not the leasing desk, is the one running vehicles.</t>
        </is>
      </c>
    </row>
    <row r="101">
      <c r="A101" s="7" t="inlineStr">
        <is>
          <t>A</t>
        </is>
      </c>
      <c r="B101" s="9" t="inlineStr">
        <is>
          <t>Confirmed on company site</t>
        </is>
      </c>
      <c r="C101" s="9" t="inlineStr">
        <is>
          <t>Express Dedicated LLC</t>
        </is>
      </c>
      <c r="D101" s="9" t="inlineStr">
        <is>
          <t>Dedicated Trucking / Freight</t>
        </is>
      </c>
      <c r="E101" s="9" t="inlineStr">
        <is>
          <t>(800) 398-2275</t>
        </is>
      </c>
      <c r="F101" s="9" t="inlineStr">
        <is>
          <t>Chattanooga</t>
        </is>
      </c>
      <c r="G101" s="9" t="inlineStr">
        <is>
          <t>200 W Martin Luther King Blvd</t>
        </is>
      </c>
      <c r="H101" s="9" t="inlineStr">
        <is>
          <t>37402</t>
        </is>
      </c>
      <c r="I101" s="9" t="inlineStr">
        <is>
          <t>sales@expressdedicated.com</t>
        </is>
      </c>
      <c r="J101" s="9" t="inlineStr">
        <is>
          <t>expressdedicated.com</t>
        </is>
      </c>
      <c r="K101" s="10" t="n"/>
      <c r="L101" s="10" t="n"/>
      <c r="M101" s="10" t="n"/>
      <c r="N101" s="10" t="n"/>
      <c r="O101" s="9" t="inlineStr">
        <is>
          <t>OFFICIAL SITE 2026-09-04: phone 1-800-398-2275 and address 200 W Martin Luther King Blvd 37402 RE-CONFIRMED on their own contact page; hours Mon-SAT 8:00-19:00, so a six-day operation. Only the toll-free is published - ask for the Chattanooga terminal when you call. Dedicated and expedited freight, and they run their own driver-recruitment pages, which means company tractors rather than brokered loads. sales@expressdedicated.com is a real inbox.</t>
        </is>
      </c>
    </row>
    <row r="102">
      <c r="A102" s="7" t="inlineStr">
        <is>
          <t>A</t>
        </is>
      </c>
      <c r="B102" s="9" t="inlineStr">
        <is>
          <t>Confirmed on company site</t>
        </is>
      </c>
      <c r="C102" s="9" t="inlineStr">
        <is>
          <t>Ferguson Waterworks</t>
        </is>
      </c>
      <c r="D102" s="9" t="inlineStr">
        <is>
          <t>Plumbing/Waterworks Wholesale Distribution</t>
        </is>
      </c>
      <c r="E102" s="9" t="inlineStr">
        <is>
          <t>(423) 629-1755</t>
        </is>
      </c>
      <c r="F102" s="9" t="inlineStr">
        <is>
          <t>Chattanooga</t>
        </is>
      </c>
      <c r="G102" s="9" t="inlineStr">
        <is>
          <t>4121 S Creek Rd</t>
        </is>
      </c>
      <c r="H102" s="9" t="inlineStr">
        <is>
          <t>37406</t>
        </is>
      </c>
      <c r="I102" s="9" t="n"/>
      <c r="J102" s="9" t="inlineStr">
        <is>
          <t>ferguson.com</t>
        </is>
      </c>
      <c r="K102" s="10" t="n"/>
      <c r="L102" s="10" t="n"/>
      <c r="M102" s="10" t="n"/>
      <c r="N102" s="10" t="n"/>
      <c r="O102" s="9" t="inlineStr">
        <is>
          <t>OFFICIAL SITE 2026-09-04: phone (423) 629-1755 RE-CONFIRMED on ferguson.com's own branch page for 4121 S Creek Rd. Note the site lists that counter as Ferguson Plumbing Supply; the same S Creek Rd campus also runs HVAC and Industrial branches on a separate line, (423) 493-3190. ZIP on their page is 37406-1022. Wholesale distributor running a local delivery fleet.</t>
        </is>
      </c>
    </row>
    <row r="103">
      <c r="A103" s="7" t="inlineStr">
        <is>
          <t>A</t>
        </is>
      </c>
      <c r="B103" s="9" t="inlineStr">
        <is>
          <t>Confirmed on company site</t>
        </is>
      </c>
      <c r="C103" s="9" t="inlineStr">
        <is>
          <t>Five Star Breaktime Solutions (Canteen)</t>
        </is>
      </c>
      <c r="D103" s="9" t="inlineStr">
        <is>
          <t>Vending / Office Coffee Service</t>
        </is>
      </c>
      <c r="E103" s="9" t="inlineStr">
        <is>
          <t>(423) 643-2600</t>
        </is>
      </c>
      <c r="F103" s="9" t="inlineStr">
        <is>
          <t>Chattanooga</t>
        </is>
      </c>
      <c r="G103" s="9" t="inlineStr">
        <is>
          <t>412 E 10th St Ste 108</t>
        </is>
      </c>
      <c r="H103" s="9" t="inlineStr">
        <is>
          <t>37403</t>
        </is>
      </c>
      <c r="I103" s="9" t="n"/>
      <c r="J103" s="9" t="inlineStr">
        <is>
          <t>canteen.com/find-your-canteen/chattanooga</t>
        </is>
      </c>
      <c r="K103" s="10" t="n"/>
      <c r="L103" s="10" t="n"/>
      <c r="M103" s="10" t="n"/>
      <c r="N103" s="10" t="n"/>
      <c r="O103" s="9" t="inlineStr">
        <is>
          <t>OFFICIAL SITE 2026-09-04: phone (423) 643-2600 RE-CONFIRMED on canteen.com's own Chattanooga page, address 412 E 10th St Ste 108 37403 confirmed. Franchise partner Five Star Breaktime Solutions carries the same branch on its own site. Vending, micro-market, coffee, water, pantry and corporate dining - a daily route-truck fleet restocking machines all over the county. UNWORKED PROSPECT: canteen.com lists a separate Ringgold/Chattanooga operation not in the sheet.</t>
        </is>
      </c>
    </row>
    <row r="104">
      <c r="A104" s="7" t="inlineStr">
        <is>
          <t>A</t>
        </is>
      </c>
      <c r="B104" s="9" t="inlineStr">
        <is>
          <t>Confirmed on company site</t>
        </is>
      </c>
      <c r="C104" s="9" t="inlineStr">
        <is>
          <t>Geosyntec Consultants</t>
        </is>
      </c>
      <c r="D104" s="9" t="inlineStr">
        <is>
          <t>Environmental / Geotechnical Testing</t>
        </is>
      </c>
      <c r="E104" s="9" t="inlineStr">
        <is>
          <t>(423) 385-2310</t>
        </is>
      </c>
      <c r="F104" s="9" t="inlineStr">
        <is>
          <t>Chattanooga</t>
        </is>
      </c>
      <c r="G104" s="9" t="inlineStr">
        <is>
          <t>835 Georgia Ave Ste 500</t>
        </is>
      </c>
      <c r="H104" s="9" t="inlineStr">
        <is>
          <t>37402</t>
        </is>
      </c>
      <c r="I104" s="9" t="n"/>
      <c r="J104" s="9" t="inlineStr">
        <is>
          <t>geosyntec.com/office-location/chattanooga-tennessee</t>
        </is>
      </c>
      <c r="K104" s="10" t="n"/>
      <c r="L104" s="10" t="n"/>
      <c r="M104" s="10" t="n"/>
      <c r="N104" s="10" t="n"/>
      <c r="O104" s="9" t="inlineStr">
        <is>
          <t>OFFICIAL SITE 2026-09-04: phone (423) 385-2310 RE-CONFIRMED on geosyntec.com's own Chattanooga office page, address 835 Georgia Ave Ste 500 37402 confirmed. Environmental and geotechnical consultancy: field crews in trucks running to job sites, which is where the glass damage happens - ask for the office or field-operations manager, not the front desk.</t>
        </is>
      </c>
    </row>
    <row r="105">
      <c r="A105" s="7" t="inlineStr">
        <is>
          <t>A</t>
        </is>
      </c>
      <c r="B105" s="9" t="inlineStr">
        <is>
          <t>Confirmed on company site</t>
        </is>
      </c>
      <c r="C105" s="9" t="inlineStr">
        <is>
          <t>Good Guys Moving &amp; Delivery</t>
        </is>
      </c>
      <c r="D105" s="9" t="inlineStr">
        <is>
          <t>Moving</t>
        </is>
      </c>
      <c r="E105" s="9" t="inlineStr">
        <is>
          <t>(423) 531-3841</t>
        </is>
      </c>
      <c r="F105" s="9" t="inlineStr">
        <is>
          <t>Chattanooga</t>
        </is>
      </c>
      <c r="G105" s="9" t="inlineStr">
        <is>
          <t>2000 Stuart St</t>
        </is>
      </c>
      <c r="H105" s="9" t="inlineStr">
        <is>
          <t>37406</t>
        </is>
      </c>
      <c r="I105" s="9" t="inlineStr">
        <is>
          <t>alambert@goodguymovers.com</t>
        </is>
      </c>
      <c r="J105" s="9" t="inlineStr">
        <is>
          <t>goodguymovers.com</t>
        </is>
      </c>
      <c r="K105" s="10" t="n"/>
      <c r="L105" s="10" t="n"/>
      <c r="M105" s="10" t="n"/>
      <c r="N105" s="10" t="n"/>
      <c r="O105" s="9" t="inlineStr">
        <is>
          <t>OFFICIAL SITE: phone (423) 531-3841 RE-CONFIRMED 2026-09-04 on their Chattanooga location page. Locally owned, licensed and insured. Runs local moving, long-distance, last-mile delivery and warehousing - a box-truck fleet across all of it.</t>
        </is>
      </c>
    </row>
    <row r="106">
      <c r="A106" s="7" t="inlineStr">
        <is>
          <t>A</t>
        </is>
      </c>
      <c r="B106" s="9" t="inlineStr">
        <is>
          <t>Confirmed on company site</t>
        </is>
      </c>
      <c r="C106" s="9" t="inlineStr">
        <is>
          <t>Grace Construction Consultants</t>
        </is>
      </c>
      <c r="D106" s="9" t="inlineStr">
        <is>
          <t>Commercial Construction / Development / Procurement</t>
        </is>
      </c>
      <c r="E106" s="9" t="inlineStr">
        <is>
          <t>(423) 208-9833</t>
        </is>
      </c>
      <c r="F106" s="9" t="inlineStr">
        <is>
          <t>Chattanooga</t>
        </is>
      </c>
      <c r="G106" s="9" t="inlineStr">
        <is>
          <t>5726 Marlin Road #200</t>
        </is>
      </c>
      <c r="H106" s="9" t="inlineStr">
        <is>
          <t>37411</t>
        </is>
      </c>
      <c r="I106" s="9" t="inlineStr">
        <is>
          <t>info@grace-cc.com</t>
        </is>
      </c>
      <c r="J106" s="9" t="inlineStr">
        <is>
          <t>grace-cc.com</t>
        </is>
      </c>
      <c r="K106" s="10" t="n"/>
      <c r="L106" s="10" t="n"/>
      <c r="M106" s="10" t="n"/>
      <c r="N106" s="10" t="n"/>
      <c r="O106" s="9" t="inlineStr">
        <is>
          <t>OFFICIAL SITE 2026-09-04: phone (423) 208-9833, address 5726 Marlin Road #200, 37411 and info@grace-cc.com ALL RE-CONFIRMED. Three arms confirmed on their own site - Grace Development, Grace Construction and Grace Procurement - with a public Leadership page and a Trade Partners page. Their portfolio includes the Moxy Chattanooga hotel, so live sites and superintendent trucks.</t>
        </is>
      </c>
    </row>
    <row r="107">
      <c r="A107" s="7" t="inlineStr">
        <is>
          <t>A</t>
        </is>
      </c>
      <c r="B107" s="9" t="inlineStr">
        <is>
          <t>Confirmed on company site</t>
        </is>
      </c>
      <c r="C107" s="9" t="inlineStr">
        <is>
          <t>GuideOn Group</t>
        </is>
      </c>
      <c r="D107" s="9" t="inlineStr">
        <is>
          <t>Trucking Holding Company / Brokerage &amp; Asset Carriers</t>
        </is>
      </c>
      <c r="E107" s="9" t="inlineStr">
        <is>
          <t>(423) 355-5212</t>
        </is>
      </c>
      <c r="F107" s="9" t="inlineStr">
        <is>
          <t>Chattanooga</t>
        </is>
      </c>
      <c r="G107" s="9" t="n"/>
      <c r="H107" s="9" t="n"/>
      <c r="I107" s="9" t="n"/>
      <c r="J107" s="9" t="inlineStr">
        <is>
          <t>guideongroup.com</t>
        </is>
      </c>
      <c r="K107" s="10" t="n"/>
      <c r="L107" s="10" t="n"/>
      <c r="M107" s="10" t="n"/>
      <c r="N107" s="10" t="n"/>
      <c r="O107" s="9" t="inlineStr">
        <is>
          <t>OFFICIAL SITE 2026-09-04: phone (423) 355-5212 RE-CONFIRMED on guideongroup.com. THE GROUP STRUCTURE IS CONFIRMED ON THEIR OWN SITE: MaxTrans Logistics is their brokerage division and GuideOn Capital Solutions their factoring arm - so row 581, Max Trans Logistics, is the SAME GROUP as this row and one conversation covers both. The earlier call not to filter this out as a broker still looks right, but note their own site foregrounds brokerage and factoring, so press on how many tractors they actually own. NAMED LEADERSHIP, each with their own page: Joe Etheredge, Mike McCallie, Becky Creswell CPA. No street address published.</t>
        </is>
      </c>
    </row>
    <row r="108">
      <c r="A108" s="7" t="inlineStr">
        <is>
          <t>A</t>
        </is>
      </c>
      <c r="B108" s="9" t="inlineStr">
        <is>
          <t>Confirmed on company site</t>
        </is>
      </c>
      <c r="C108" s="9" t="inlineStr">
        <is>
          <t>H&amp;H BROWN, INC</t>
        </is>
      </c>
      <c r="D108" s="9" t="inlineStr">
        <is>
          <t>Construction</t>
        </is>
      </c>
      <c r="E108" s="9" t="inlineStr">
        <is>
          <t>(423) 267-9655</t>
        </is>
      </c>
      <c r="F108" s="9" t="inlineStr">
        <is>
          <t>Chattanooga</t>
        </is>
      </c>
      <c r="G108" s="9" t="inlineStr">
        <is>
          <t>1803 Polk St</t>
        </is>
      </c>
      <c r="H108" s="9" t="inlineStr">
        <is>
          <t>37408</t>
        </is>
      </c>
      <c r="I108" s="9" t="inlineStr">
        <is>
          <t>info@handhbrown.com</t>
        </is>
      </c>
      <c r="J108" s="9" t="inlineStr">
        <is>
          <t>handhbrown.com</t>
        </is>
      </c>
      <c r="K108" s="10" t="n"/>
      <c r="L108" s="10" t="n"/>
      <c r="M108" s="10" t="n"/>
      <c r="N108" s="10" t="n"/>
      <c r="O108" s="9" t="inlineStr">
        <is>
          <t>OFFICIAL SITE 2026-09-04: phone (423) 267-9655, address 1803 Polk Street 37408 and info@handhbrown.com ALL RE-CONFIRMED on their own contact page. Trading name confirmed as H. and H. Brown, Inc. Family owned, 35+ years across the tri-state area doing construction management, specialty contracting and subcontracting on commercial and industrial work. NEIGHBOUR WARNING: JBH Steel (row 557) is next door at 1801 Polk Street on (423) 267-9665 - one digit apart from this number, both in steel and construction. Easy to misdial in either direction, and the two may be related; confirm whose line you are on when someone answers.</t>
        </is>
      </c>
    </row>
    <row r="109">
      <c r="A109" s="7" t="inlineStr">
        <is>
          <t>A</t>
        </is>
      </c>
      <c r="B109" s="9" t="inlineStr">
        <is>
          <t>Confirmed on company site</t>
        </is>
      </c>
      <c r="C109" s="9" t="inlineStr">
        <is>
          <t>Hamilton County Government - Procurement and Fleet Management Dept.</t>
        </is>
      </c>
      <c r="D109" s="9" t="inlineStr">
        <is>
          <t>County Government</t>
        </is>
      </c>
      <c r="E109" s="9" t="inlineStr">
        <is>
          <t>(423) 209-6350</t>
        </is>
      </c>
      <c r="F109" s="9" t="inlineStr">
        <is>
          <t>Chattanooga</t>
        </is>
      </c>
      <c r="G109" s="9" t="inlineStr">
        <is>
          <t>455 N Highland Park Ave (McDaniel Bldg)</t>
        </is>
      </c>
      <c r="H109" s="9" t="inlineStr">
        <is>
          <t>37404</t>
        </is>
      </c>
      <c r="I109" s="9" t="n"/>
      <c r="J109" s="9" t="inlineStr">
        <is>
          <t>hamiltontn.gov/Department_Procurement.aspx</t>
        </is>
      </c>
      <c r="K109" s="10" t="n"/>
      <c r="L109" s="10" t="n"/>
      <c r="M109" s="10" t="n"/>
      <c r="N109" s="10" t="n"/>
      <c r="O109" s="9" t="inlineStr">
        <is>
          <t>OFFICIAL SITE: phone (423) 209-6350 and 455 N Highland Park Ave (McDaniel Bldg) RE-CONFIRMED EXACTLY 2026-09-04. Fax 423-209-6351. Open 8:00-16:00. The county publishes its Procurement Rules (2023 edition) as a PDF on the same site - read it before approaching, as county glass work goes through a formal quote or bid process and getting on the vendor list is the first step, not the sale.</t>
        </is>
      </c>
    </row>
    <row r="110">
      <c r="A110" s="7" t="inlineStr">
        <is>
          <t>A</t>
        </is>
      </c>
      <c r="B110" s="9" t="inlineStr">
        <is>
          <t>Confirmed on company site</t>
        </is>
      </c>
      <c r="C110" s="9" t="inlineStr">
        <is>
          <t>Hamilton County Highway Department</t>
        </is>
      </c>
      <c r="D110" s="9" t="inlineStr">
        <is>
          <t>County Government (Public Works)</t>
        </is>
      </c>
      <c r="E110" s="9" t="inlineStr">
        <is>
          <t>(423) 209-5050</t>
        </is>
      </c>
      <c r="F110" s="9" t="inlineStr">
        <is>
          <t>Chattanooga</t>
        </is>
      </c>
      <c r="G110" s="9" t="inlineStr">
        <is>
          <t>4005 Cromwell Rd</t>
        </is>
      </c>
      <c r="H110" s="9" t="inlineStr">
        <is>
          <t>37421</t>
        </is>
      </c>
      <c r="I110" s="9" t="n"/>
      <c r="J110" s="9" t="inlineStr">
        <is>
          <t>hamiltontn.gov/Department_Highway.aspx</t>
        </is>
      </c>
      <c r="K110" s="10" t="n"/>
      <c r="L110" s="10" t="n"/>
      <c r="M110" s="10" t="n"/>
      <c r="N110" s="10" t="n"/>
      <c r="O110" s="9" t="inlineStr">
        <is>
          <t>OFFICIAL SITE: phone (423) 209-5050 and 4005 Cromwell Rd RE-CONFIRMED EXACTLY 2026-09-04. Fax 423-209-5051. Open Mon-Thu 7:00-17:00 (four-day week - do not call Friday). Dump trucks, graders and pickups; purchasing still routes through county Procurement (row above).</t>
        </is>
      </c>
    </row>
    <row r="111">
      <c r="A111" s="7" t="inlineStr">
        <is>
          <t>A</t>
        </is>
      </c>
      <c r="B111" s="9" t="inlineStr">
        <is>
          <t>Confirmed on company site</t>
        </is>
      </c>
      <c r="C111" s="9" t="inlineStr">
        <is>
          <t>Harbor Lights Marina</t>
        </is>
      </c>
      <c r="D111" s="9" t="inlineStr">
        <is>
          <t>Marina / Boat Services</t>
        </is>
      </c>
      <c r="E111" s="9" t="inlineStr">
        <is>
          <t>(423) 842-5391</t>
        </is>
      </c>
      <c r="F111" s="9" t="inlineStr">
        <is>
          <t>Soddy-Daisy</t>
        </is>
      </c>
      <c r="G111" s="9" t="inlineStr">
        <is>
          <t>9680 Hixson Pike</t>
        </is>
      </c>
      <c r="H111" s="9" t="inlineStr">
        <is>
          <t>37379</t>
        </is>
      </c>
      <c r="I111" s="9" t="inlineStr">
        <is>
          <t>info@harborlightsmarinatn.com</t>
        </is>
      </c>
      <c r="J111" s="9" t="inlineStr">
        <is>
          <t>harborlightsmarinatn.com</t>
        </is>
      </c>
      <c r="K111" s="10" t="n"/>
      <c r="L111" s="10" t="n"/>
      <c r="M111" s="10" t="n"/>
      <c r="N111" s="10" t="n"/>
      <c r="O111" s="9" t="inlineStr">
        <is>
          <t>OFFICIAL SITE 2026-09-04: phone (423) 842-5391 RE-CONFIRMED on harborlightsmarinatn.com's own contact page, address 9680 Hixson Pike, Soddy-Daisy 37379 confirmed. On Chickamauga Lake with a marina store and fuel dock, wet slips, outdoor dry storage and a boat-rental operation - the rental fleet and the yard trucks that move boats are both worth asking about.</t>
        </is>
      </c>
    </row>
    <row r="112">
      <c r="A112" s="7" t="inlineStr">
        <is>
          <t>A</t>
        </is>
      </c>
      <c r="B112" s="9" t="inlineStr">
        <is>
          <t>Confirmed on company site</t>
        </is>
      </c>
      <c r="C112" s="9" t="inlineStr">
        <is>
          <t>Hayward Bolt and Specialty</t>
        </is>
      </c>
      <c r="D112" s="9" t="inlineStr">
        <is>
          <t>Fastener &amp; Industrial Supply</t>
        </is>
      </c>
      <c r="E112" s="9" t="inlineStr">
        <is>
          <t>(423) 622-2193</t>
        </is>
      </c>
      <c r="F112" s="9" t="inlineStr">
        <is>
          <t>Chattanooga</t>
        </is>
      </c>
      <c r="G112" s="9" t="inlineStr">
        <is>
          <t>2805 S. Orchard Knob Ave</t>
        </is>
      </c>
      <c r="H112" s="9" t="inlineStr">
        <is>
          <t>37407</t>
        </is>
      </c>
      <c r="I112" s="9" t="inlineStr">
        <is>
          <t>sales@boltandspecialty.com</t>
        </is>
      </c>
      <c r="J112" s="9" t="inlineStr">
        <is>
          <t>boltandspecialty.com</t>
        </is>
      </c>
      <c r="K112" s="10" t="n"/>
      <c r="L112" s="10" t="n"/>
      <c r="M112" s="10" t="n"/>
      <c r="N112" s="10" t="n"/>
      <c r="O112" s="9" t="inlineStr">
        <is>
          <t>OFFICIAL SITE 2026-09-04: phone (423) 622-2193 and address 2805 S. Orchard Knob Ave 37407 RE-CONFIRMED on their own contact page; fax 423-622-2175. sales@boltandspecialty.com holds. Counter trade plus delivery - the second fastener supplier on this list after Atlas Bolt at row 459, and the two are worth quoting the same way.</t>
        </is>
      </c>
    </row>
    <row r="113">
      <c r="A113" s="7" t="inlineStr">
        <is>
          <t>A</t>
        </is>
      </c>
      <c r="B113" s="9" t="inlineStr">
        <is>
          <t>Confirmed on company site</t>
        </is>
      </c>
      <c r="C113" s="9" t="inlineStr">
        <is>
          <t>Herc Rentals</t>
        </is>
      </c>
      <c r="D113" s="9" t="inlineStr">
        <is>
          <t>Equipment Rental</t>
        </is>
      </c>
      <c r="E113" s="9" t="inlineStr">
        <is>
          <t>(423) 624-6955</t>
        </is>
      </c>
      <c r="F113" s="9" t="inlineStr">
        <is>
          <t>Chattanooga</t>
        </is>
      </c>
      <c r="G113" s="9" t="inlineStr">
        <is>
          <t>1913 E 24th St Pl</t>
        </is>
      </c>
      <c r="H113" s="9" t="inlineStr">
        <is>
          <t>37404</t>
        </is>
      </c>
      <c r="I113" s="9" t="n"/>
      <c r="J113" s="9" t="inlineStr">
        <is>
          <t>hercrentals.com</t>
        </is>
      </c>
      <c r="K113" s="10" t="n"/>
      <c r="L113" s="10" t="n"/>
      <c r="M113" s="10" t="n"/>
      <c r="N113" s="10" t="n"/>
      <c r="O113" s="9" t="inlineStr">
        <is>
          <t>OFFICIAL SITE: phone (423) 624-6955 and 1913 E 24th St Pl RE-CONFIRMED EXACTLY 2026-09-04. A Herc ProSolutions operation runs from the same address (833-917-0356). Equipment rental fleet plus delivery trucks.</t>
        </is>
      </c>
    </row>
    <row r="114">
      <c r="A114" s="7" t="inlineStr">
        <is>
          <t>A</t>
        </is>
      </c>
      <c r="B114" s="9" t="inlineStr">
        <is>
          <t>Confirmed on company site</t>
        </is>
      </c>
      <c r="C114" s="9" t="inlineStr">
        <is>
          <t>Hixson Utility District</t>
        </is>
      </c>
      <c r="D114" s="9" t="inlineStr">
        <is>
          <t>Water Utility</t>
        </is>
      </c>
      <c r="E114" s="9" t="inlineStr">
        <is>
          <t>(423) 877-3513</t>
        </is>
      </c>
      <c r="F114" s="9" t="inlineStr">
        <is>
          <t>Hixson</t>
        </is>
      </c>
      <c r="G114" s="9" t="inlineStr">
        <is>
          <t>5201 Hixson Pike</t>
        </is>
      </c>
      <c r="H114" s="9" t="inlineStr">
        <is>
          <t>37343</t>
        </is>
      </c>
      <c r="I114" s="9" t="inlineStr">
        <is>
          <t>customerservice@hixsonutility.com</t>
        </is>
      </c>
      <c r="J114" s="9" t="inlineStr">
        <is>
          <t>hixsonutility.com</t>
        </is>
      </c>
      <c r="K114" s="10" t="n"/>
      <c r="L114" s="10" t="n"/>
      <c r="M114" s="10" t="n"/>
      <c r="N114" s="10" t="n"/>
      <c r="O114" s="9" t="inlineStr">
        <is>
          <t>OFFICIAL SITE 2026-09-04: phone (423) 877-3513, address 5201 Hixson Pike and customerservice@hixsonutility.com ALL RE-CONFIRMED. Office hours 8:00-16:00; the same number is their leak and water-main-break emergency line, with voicemail after hours. Mailing PO Box 1598, Hixson 37343-5598. A water utility runs meter trucks, service trucks and backhoes across a fixed service area every working day - one of the steadier fleet prospects in Hixson.</t>
        </is>
      </c>
    </row>
    <row r="115">
      <c r="A115" s="7" t="inlineStr">
        <is>
          <t>A</t>
        </is>
      </c>
      <c r="B115" s="9" t="inlineStr">
        <is>
          <t>Confirmed on company site</t>
        </is>
      </c>
      <c r="C115" s="9" t="inlineStr">
        <is>
          <t>Hoffman &amp; Hoffman</t>
        </is>
      </c>
      <c r="D115" s="9" t="inlineStr">
        <is>
          <t>HVAC (Commercial)</t>
        </is>
      </c>
      <c r="E115" s="9" t="inlineStr">
        <is>
          <t>(423) 693-2890</t>
        </is>
      </c>
      <c r="F115" s="9" t="inlineStr">
        <is>
          <t>Chattanooga</t>
        </is>
      </c>
      <c r="G115" s="9" t="inlineStr">
        <is>
          <t>6011 Century Oaks Dr</t>
        </is>
      </c>
      <c r="H115" s="9" t="inlineStr">
        <is>
          <t>37416</t>
        </is>
      </c>
      <c r="I115" s="9" t="n"/>
      <c r="J115" s="9" t="inlineStr">
        <is>
          <t>hoffman-hoffman.com</t>
        </is>
      </c>
      <c r="K115" s="10" t="n"/>
      <c r="L115" s="10" t="n"/>
      <c r="M115" s="10" t="n"/>
      <c r="N115" s="10" t="n"/>
      <c r="O115" s="9" t="inlineStr">
        <is>
          <t>OFFICIAL SITE: phone (423) 693-2890 and 6011 Century Oaks Dr RE-CONFIRMED 2026-09-04. Commercial HVAC manufacturer's rep with its own Chattanooga branch and a service-van fleet; their published territory map covers this region from the Chattanooga office.</t>
        </is>
      </c>
    </row>
    <row r="116">
      <c r="A116" s="7" t="inlineStr">
        <is>
          <t>A</t>
        </is>
      </c>
      <c r="B116" s="9" t="inlineStr">
        <is>
          <t>Confirmed on company site</t>
        </is>
      </c>
      <c r="C116" s="9" t="inlineStr">
        <is>
          <t>Holston Gases</t>
        </is>
      </c>
      <c r="D116" s="9" t="inlineStr">
        <is>
          <t>Propane / Fuel Delivery</t>
        </is>
      </c>
      <c r="E116" s="9" t="inlineStr">
        <is>
          <t>(423) 698-5312</t>
        </is>
      </c>
      <c r="F116" s="9" t="inlineStr">
        <is>
          <t>Chattanooga</t>
        </is>
      </c>
      <c r="G116" s="9" t="inlineStr">
        <is>
          <t>1105 Stuart St</t>
        </is>
      </c>
      <c r="H116" s="9" t="inlineStr">
        <is>
          <t>37406</t>
        </is>
      </c>
      <c r="I116" s="9" t="n"/>
      <c r="J116" s="9" t="inlineStr">
        <is>
          <t>holstongases.com</t>
        </is>
      </c>
      <c r="K116" s="10" t="n"/>
      <c r="L116" s="10" t="n"/>
      <c r="M116" s="10" t="n"/>
      <c r="N116" s="10" t="n"/>
      <c r="O116" s="9" t="inlineStr">
        <is>
          <t>OFFICIAL SITE 2026-09-04: phone (423) 698-5312 RE-CONFIRMED on holstongases.com's own Chattanooga page, address 1105 Stuart St 37406 and hours Mon-Fri 7:30-17:00 confirmed. Propane, bulk gas, cylinders, CO2, dry ice and medical gas out of this branch - bobtails and cylinder trucks. UNWORKED PROSPECTS on their own locations list: a second Chattanooga point (listed as Chattanooga TN - Arc 1) and an Ooltewah propane branch, neither in the sheet.</t>
        </is>
      </c>
    </row>
    <row r="117">
      <c r="A117" s="7" t="inlineStr">
        <is>
          <t>A</t>
        </is>
      </c>
      <c r="B117" s="9" t="inlineStr">
        <is>
          <t>Confirmed on company site</t>
        </is>
      </c>
      <c r="C117" s="9" t="inlineStr">
        <is>
          <t>Hoven Collision Repair</t>
        </is>
      </c>
      <c r="D117" s="9" t="inlineStr">
        <is>
          <t>Collision Repair / Body Shop</t>
        </is>
      </c>
      <c r="E117" s="9" t="inlineStr">
        <is>
          <t>(423) 238-6334</t>
        </is>
      </c>
      <c r="F117" s="9" t="inlineStr">
        <is>
          <t>Ooltewah</t>
        </is>
      </c>
      <c r="G117" s="9" t="inlineStr">
        <is>
          <t>10344 Lee Hwy</t>
        </is>
      </c>
      <c r="H117" s="9" t="inlineStr">
        <is>
          <t>37363</t>
        </is>
      </c>
      <c r="I117" s="9" t="n"/>
      <c r="J117" s="9" t="inlineStr">
        <is>
          <t>hovencollision.com</t>
        </is>
      </c>
      <c r="K117" s="10" t="n"/>
      <c r="L117" s="10" t="n"/>
      <c r="M117" s="10" t="n"/>
      <c r="N117" s="10" t="n"/>
      <c r="O117" s="9" t="inlineStr">
        <is>
          <t>OFFICIAL SITE: phone (423) 238-6334 RE-CONFIRMED 2026-09-04. Body shop at 10344 Lee Hwy, Ooltewah. Named staff on site: Dan Steenhoven, Daaron Hartman, Jeff O'Ffill. No glass service listed - customer, not competitor. No email published, they use a form.</t>
        </is>
      </c>
    </row>
    <row r="118">
      <c r="A118" s="7" t="inlineStr">
        <is>
          <t>A</t>
        </is>
      </c>
      <c r="B118" s="9" t="inlineStr">
        <is>
          <t>Confirmed on company site</t>
        </is>
      </c>
      <c r="C118" s="9" t="inlineStr">
        <is>
          <t>Hudson Construction Company</t>
        </is>
      </c>
      <c r="D118" s="9" t="inlineStr">
        <is>
          <t>Commercial General Contractor</t>
        </is>
      </c>
      <c r="E118" s="9" t="inlineStr">
        <is>
          <t>(423) 624-2631</t>
        </is>
      </c>
      <c r="F118" s="9" t="inlineStr">
        <is>
          <t>Chattanooga</t>
        </is>
      </c>
      <c r="G118" s="9" t="n"/>
      <c r="H118" s="9" t="n"/>
      <c r="I118" s="9" t="n"/>
      <c r="J118" s="9" t="inlineStr">
        <is>
          <t>hudsoncc.com</t>
        </is>
      </c>
      <c r="K118" s="10" t="n"/>
      <c r="L118" s="10" t="n"/>
      <c r="M118" s="10" t="n"/>
      <c r="N118" s="10" t="n"/>
      <c r="O118" s="9" t="inlineStr">
        <is>
          <t>OFFICIAL SITE 2026-09-04: phone (423) 624-2631 RE-CONFIRMED on hudsoncc.com. Bigger than the row implied: 65+ years and OFFICES IN FOUR STATES. Note they run a separate PAVING division alongside construction, each with its own team page - paving means dump trucks and rollers on top of superintendent trucks, so ask for both. Still no street address published.</t>
        </is>
      </c>
    </row>
    <row r="119">
      <c r="A119" s="7" t="inlineStr">
        <is>
          <t>A</t>
        </is>
      </c>
      <c r="B119" s="9" t="inlineStr">
        <is>
          <t>Confirmed on company site</t>
        </is>
      </c>
      <c r="C119" s="9" t="inlineStr">
        <is>
          <t>Hullco</t>
        </is>
      </c>
      <c r="D119" s="9" t="inlineStr">
        <is>
          <t>Exterior Remodeling / Siding / Windows</t>
        </is>
      </c>
      <c r="E119" s="9" t="inlineStr">
        <is>
          <t>(423) 210-4440</t>
        </is>
      </c>
      <c r="F119" s="9" t="inlineStr">
        <is>
          <t>Chattanooga</t>
        </is>
      </c>
      <c r="G119" s="9" t="inlineStr">
        <is>
          <t>7110 E Brainerd Rd</t>
        </is>
      </c>
      <c r="H119" s="9" t="inlineStr">
        <is>
          <t>37421</t>
        </is>
      </c>
      <c r="I119" s="9" t="n"/>
      <c r="J119" s="9" t="inlineStr">
        <is>
          <t>hullcoexteriors.com</t>
        </is>
      </c>
      <c r="K119" s="10" t="n"/>
      <c r="L119" s="10" t="n"/>
      <c r="M119" s="10" t="n"/>
      <c r="N119" s="10" t="n"/>
      <c r="O119" s="9" t="inlineStr">
        <is>
          <t>OFFICIAL SITE 2026-09-04: phone (423) 210-4440 and address 7110 E Brainerd Rd 37421 RE-CONFIRMED. THE ACQUISITION IS NOW COMPLETE, NOT JUST ANNOUNCED: hullcoexteriors.com resolves to WEST SHORE HOME branding throughout - baths, windows, entry doors and flooring - with the Hullco name surviving only on a few legacy pages. So the fleet decision very likely sits with the national parent now; ask who approves vehicle spend before investing time. They still cover Chattanooga and Knoxville. No email published.</t>
        </is>
      </c>
    </row>
    <row r="120">
      <c r="A120" s="7" t="inlineStr">
        <is>
          <t>A</t>
        </is>
      </c>
      <c r="B120" s="9" t="inlineStr">
        <is>
          <t>Confirmed on company site</t>
        </is>
      </c>
      <c r="C120" s="9" t="inlineStr">
        <is>
          <t>Imperial Fence Supply</t>
        </is>
      </c>
      <c r="D120" s="9" t="inlineStr">
        <is>
          <t>Fence Materials Supply</t>
        </is>
      </c>
      <c r="E120" s="9" t="inlineStr">
        <is>
          <t>(423) 654-7305</t>
        </is>
      </c>
      <c r="F120" s="9" t="inlineStr">
        <is>
          <t>Chattanooga</t>
        </is>
      </c>
      <c r="G120" s="9" t="inlineStr">
        <is>
          <t>2050 S. Kelley St.</t>
        </is>
      </c>
      <c r="H120" s="9" t="inlineStr">
        <is>
          <t>37404</t>
        </is>
      </c>
      <c r="I120" s="9" t="n"/>
      <c r="J120" s="9" t="inlineStr">
        <is>
          <t>imperialfencesupply.com</t>
        </is>
      </c>
      <c r="K120" s="10" t="n"/>
      <c r="L120" s="10" t="n"/>
      <c r="M120" s="10" t="n"/>
      <c r="N120" s="10" t="n"/>
      <c r="O120" s="9" t="inlineStr">
        <is>
          <t>OFFICIAL SITE 2026-09-04: phone (423) 654-7305 and address 2050 S. Kelley St 37404 RE-CONFIRMED. Wholesale to fence contractors - pipe, accessories, custom gates, temporary fence panels, PVC, Trex, access control, barb tape and welded wire, so heavy delivery trucks. The Midwest office is confirmed in their own product sheets: Western Springs, IL 60558, 708-426-1010 - but note that contact is chris@JKMETALS.COM, a different company's domain, so the Illinois end may be a partner rather than a branch. Chattanooga is the one that matters here.</t>
        </is>
      </c>
    </row>
    <row r="121">
      <c r="A121" s="7" t="inlineStr">
        <is>
          <t>A</t>
        </is>
      </c>
      <c r="B121" s="9" t="inlineStr">
        <is>
          <t>Confirmed on company site</t>
        </is>
      </c>
      <c r="C121" s="9" t="inlineStr">
        <is>
          <t>Industrial Lift Truck</t>
        </is>
      </c>
      <c r="D121" s="9" t="inlineStr">
        <is>
          <t>Forklift Dealer / Field Service</t>
        </is>
      </c>
      <c r="E121" s="9" t="inlineStr">
        <is>
          <t>(423) 332-5533</t>
        </is>
      </c>
      <c r="F121" s="9" t="inlineStr">
        <is>
          <t>Chattanooga</t>
        </is>
      </c>
      <c r="G121" s="9" t="inlineStr">
        <is>
          <t>1259 Hooker Road</t>
        </is>
      </c>
      <c r="H121" s="9" t="inlineStr">
        <is>
          <t>37407</t>
        </is>
      </c>
      <c r="I121" s="9" t="n"/>
      <c r="J121" s="9" t="inlineStr">
        <is>
          <t>industriallifttruck.com</t>
        </is>
      </c>
      <c r="K121" s="10" t="n"/>
      <c r="L121" s="10" t="n"/>
      <c r="M121" s="10" t="n"/>
      <c r="N121" s="10" t="n"/>
      <c r="O121" s="9" t="inlineStr">
        <is>
          <t>OFFICIAL SITE 2026-09-04: phone (423) 332-5533 RE-CONFIRMED on their own location page, address 1259 Hooker Road confirmed. Chattanooga's Bobcat dealer as well as a forklift dealer - sales, rentals, parts, hydraulic repairs and a preventative-maintenance programme, which means field service trucks running to customer sites daily. No email published.</t>
        </is>
      </c>
    </row>
    <row r="122">
      <c r="A122" s="7" t="inlineStr">
        <is>
          <t>A</t>
        </is>
      </c>
      <c r="B122" s="9" t="inlineStr">
        <is>
          <t>Confirmed on company site</t>
        </is>
      </c>
      <c r="C122" s="9" t="inlineStr">
        <is>
          <t>Integrity Service Heating &amp; Cooling LLC</t>
        </is>
      </c>
      <c r="D122" s="9" t="inlineStr">
        <is>
          <t>HVAC Contractor</t>
        </is>
      </c>
      <c r="E122" s="9" t="inlineStr">
        <is>
          <t>(423) 356-8282</t>
        </is>
      </c>
      <c r="F122" s="9" t="inlineStr">
        <is>
          <t>Soddy-Daisy</t>
        </is>
      </c>
      <c r="G122" s="9" t="inlineStr">
        <is>
          <t>106 Karen Dr</t>
        </is>
      </c>
      <c r="H122" s="9" t="inlineStr">
        <is>
          <t>37379</t>
        </is>
      </c>
      <c r="I122" s="9" t="inlineStr">
        <is>
          <t>info@integrityheatandcool.com</t>
        </is>
      </c>
      <c r="J122" s="9" t="inlineStr">
        <is>
          <t>integrityheatandcool.com</t>
        </is>
      </c>
      <c r="K122" s="10" t="n"/>
      <c r="L122" s="10" t="n"/>
      <c r="M122" s="10" t="n"/>
      <c r="N122" s="10" t="n"/>
      <c r="O122" s="9" t="inlineStr">
        <is>
          <t>OFFICIAL SITE 2026-09-04: phone (423) 356-8282, address 106 Karen Dr, Soddy-Daisy 37379 and info@integrityheatandcool.com ALL RE-CONFIRMED on their own contact page. They run separate commercial HVAC repair and restaurant-equipment-repair lines plus a 24/7 emergency service page - restaurant work means service vans out at odd hours across the county.</t>
        </is>
      </c>
    </row>
    <row r="123">
      <c r="A123" s="7" t="inlineStr">
        <is>
          <t>A</t>
        </is>
      </c>
      <c r="B123" s="9" t="inlineStr">
        <is>
          <t>Confirmed on company site</t>
        </is>
      </c>
      <c r="C123" s="9" t="inlineStr">
        <is>
          <t>International Equipment Company (IEC Fire Protection)</t>
        </is>
      </c>
      <c r="D123" s="9" t="inlineStr">
        <is>
          <t>Fire Protection / Life Safety / Security</t>
        </is>
      </c>
      <c r="E123" s="9" t="inlineStr">
        <is>
          <t>(423) 267-6611</t>
        </is>
      </c>
      <c r="F123" s="9" t="inlineStr">
        <is>
          <t>Chattanooga</t>
        </is>
      </c>
      <c r="G123" s="9" t="inlineStr">
        <is>
          <t>915 Pineville Road</t>
        </is>
      </c>
      <c r="H123" s="9" t="inlineStr">
        <is>
          <t>37405</t>
        </is>
      </c>
      <c r="I123" s="9" t="n"/>
      <c r="J123" s="9" t="inlineStr">
        <is>
          <t>iecfp.com</t>
        </is>
      </c>
      <c r="K123" s="10" t="n"/>
      <c r="L123" s="10" t="n"/>
      <c r="M123" s="10" t="n"/>
      <c r="N123" s="10" t="n"/>
      <c r="O123" s="9" t="inlineStr">
        <is>
          <t>OFFICIAL SITE 2026-09-04: phone (423) 267-6611 RE-CONFIRMED on iecfp.com. Protecting Tennessee Valley businesses since 1977 across fire sprinklers, alarms, pumps, extinguishers, hydrant inspections, industrial life safety and commercial security. Their site does not publish the 915 Pineville Road address, so that line stays unverified. INSPECTIONS ARE THE FLEET: hydrant, extinguisher and pump testing put techs on the road across the whole valley all year, not just on call-outs. No email; form only.</t>
        </is>
      </c>
    </row>
    <row r="124">
      <c r="A124" s="7" t="inlineStr">
        <is>
          <t>A</t>
        </is>
      </c>
      <c r="B124" s="9" t="inlineStr">
        <is>
          <t>Confirmed on company site</t>
        </is>
      </c>
      <c r="C124" s="9" t="inlineStr">
        <is>
          <t>J C Curtis Construction Company LLC</t>
        </is>
      </c>
      <c r="D124" s="9" t="inlineStr">
        <is>
          <t>Commercial General Contractor</t>
        </is>
      </c>
      <c r="E124" s="9" t="inlineStr">
        <is>
          <t>(423) 894-5480</t>
        </is>
      </c>
      <c r="F124" s="9" t="inlineStr">
        <is>
          <t>Chattanooga</t>
        </is>
      </c>
      <c r="G124" s="9" t="inlineStr">
        <is>
          <t>PO Box 5127</t>
        </is>
      </c>
      <c r="H124" s="9" t="inlineStr">
        <is>
          <t>37406</t>
        </is>
      </c>
      <c r="I124" s="9" t="inlineStr">
        <is>
          <t>jlynch@jccurtisconstruction.com</t>
        </is>
      </c>
      <c r="J124" s="9" t="inlineStr">
        <is>
          <t>jccurtisconstruction.com</t>
        </is>
      </c>
      <c r="K124" s="10" t="n"/>
      <c r="L124" s="10" t="n"/>
      <c r="M124" s="10" t="n"/>
      <c r="N124" s="10" t="n"/>
      <c r="O124" s="9" t="inlineStr">
        <is>
          <t>OFFICIAL SITE 2026-09-04: phone (423) 894-5480 and PO Box 5127, Chattanooga 37406 RE-CONFIRMED - still a PO Box only, no street address. jlynch@jccurtisconstruction.com holds as the named contact. Commercial general contractor doing new construction, renovations and remodels; they run a separate Currently Bidding subdomain, which is a live signal of active work and therefore trucks on sites.</t>
        </is>
      </c>
    </row>
    <row r="125">
      <c r="A125" s="7" t="inlineStr">
        <is>
          <t>A</t>
        </is>
      </c>
      <c r="B125" s="9" t="inlineStr">
        <is>
          <t>Confirmed on company site</t>
        </is>
      </c>
      <c r="C125" s="9" t="inlineStr">
        <is>
          <t>J.D. HELTON ROOFING COMPANY, INC.</t>
        </is>
      </c>
      <c r="D125" s="9" t="inlineStr">
        <is>
          <t>Commercial &amp; Industrial Roofing</t>
        </is>
      </c>
      <c r="E125" s="9" t="inlineStr">
        <is>
          <t>(423) 867-4400</t>
        </is>
      </c>
      <c r="F125" s="9" t="inlineStr">
        <is>
          <t>Chattanooga</t>
        </is>
      </c>
      <c r="G125" s="9" t="inlineStr">
        <is>
          <t>2500 E 37th St</t>
        </is>
      </c>
      <c r="H125" s="9" t="inlineStr">
        <is>
          <t>37407</t>
        </is>
      </c>
      <c r="I125" s="9" t="n"/>
      <c r="J125" s="9" t="inlineStr">
        <is>
          <t>jdheltonroofing.com</t>
        </is>
      </c>
      <c r="K125" s="10" t="n"/>
      <c r="L125" s="10" t="n"/>
      <c r="M125" s="10" t="n"/>
      <c r="N125" s="10" t="n"/>
      <c r="O125" s="9" t="inlineStr">
        <is>
          <t>OFFICIAL SITE 2026-09-04: phone (423) 867-4400 RE-CONFIRMED, and ADDRESS FOUND where the row had none - their contact page gives 2500 E 37th St, Chattanooga 37407. Added. Hours Mon-Fri 7:30-17:00. Their own claim: Chattanooga's OLDEST commercial roofing contractor, in business since 1932 - which squares with the earlier note. BBB accredited, Versico partner, doing industrial roofing, sheet metal and EMERGENCY REPAIR - the emergency line is what puts trucks out at short notice.</t>
        </is>
      </c>
    </row>
    <row r="126">
      <c r="A126" s="7" t="inlineStr">
        <is>
          <t>A</t>
        </is>
      </c>
      <c r="B126" s="9" t="inlineStr">
        <is>
          <t>Confirmed on company site</t>
        </is>
      </c>
      <c r="C126" s="9" t="inlineStr">
        <is>
          <t>James Wilson Company</t>
        </is>
      </c>
      <c r="D126" s="9" t="inlineStr">
        <is>
          <t>Crane Rental / Industrial Rigging / Heavy Haul</t>
        </is>
      </c>
      <c r="E126" s="9" t="inlineStr">
        <is>
          <t>(423) 265-2646</t>
        </is>
      </c>
      <c r="F126" s="9" t="inlineStr">
        <is>
          <t>Chattanooga</t>
        </is>
      </c>
      <c r="G126" s="9" t="n"/>
      <c r="H126" s="9" t="n"/>
      <c r="I126" s="9" t="inlineStr">
        <is>
          <t>dewayne@jameswilsonco.net</t>
        </is>
      </c>
      <c r="J126" s="9" t="inlineStr">
        <is>
          <t>jameswilsonco.net</t>
        </is>
      </c>
      <c r="K126" s="10" t="n"/>
      <c r="L126" s="10" t="n"/>
      <c r="M126" s="10" t="n"/>
      <c r="N126" s="10" t="n"/>
      <c r="O126" s="9" t="inlineStr">
        <is>
          <t>OFFICIAL SITE 2026-09-04: phone (423) 265-2646 RE-CONFIRMED on jameswilsonco.net's own contact page, along with both named inboxes, dewayne@ and linda@jameswilsonco.net. Open SEVEN DAYS, 7:00-17:00, with 24-hour emergency service - a fleet that runs weekends. 60+ years renting and leasing cranes, plus plant relocation, industrial rigging, heavy hauling and demolition rigging. Still no street address published, so that line stays blank.</t>
        </is>
      </c>
    </row>
    <row r="127">
      <c r="A127" s="7" t="inlineStr">
        <is>
          <t>A</t>
        </is>
      </c>
      <c r="B127" s="9" t="inlineStr">
        <is>
          <t>Confirmed on company site</t>
        </is>
      </c>
      <c r="C127" s="9" t="inlineStr">
        <is>
          <t>JBH STEEL, LLC.</t>
        </is>
      </c>
      <c r="D127" s="9" t="inlineStr">
        <is>
          <t>Structural &amp; Miscellaneous Steel Fabrication and Erection</t>
        </is>
      </c>
      <c r="E127" s="9" t="inlineStr">
        <is>
          <t>(423) 267-9665</t>
        </is>
      </c>
      <c r="F127" s="9" t="inlineStr">
        <is>
          <t>Chattanooga</t>
        </is>
      </c>
      <c r="G127" s="9" t="inlineStr">
        <is>
          <t>1801 Polk Street</t>
        </is>
      </c>
      <c r="H127" s="9" t="inlineStr">
        <is>
          <t>37408</t>
        </is>
      </c>
      <c r="I127" s="9" t="inlineStr">
        <is>
          <t>msindler@jbhsteel.com</t>
        </is>
      </c>
      <c r="J127" s="9" t="inlineStr">
        <is>
          <t>jbhsteel.com</t>
        </is>
      </c>
      <c r="K127" s="10" t="n"/>
      <c r="L127" s="10" t="n"/>
      <c r="M127" s="10" t="n"/>
      <c r="N127" s="10" t="n"/>
      <c r="O127" s="9" t="inlineStr">
        <is>
          <t>OFFICIAL SITE 2026-09-04: address 1801 Polk Street 37408 and MSindler@JBHSteel.com RE-CONFIRMED. PHONE - READ BEFORE DIALLING: their own contact page carries (423) 267-9665 in its title, which matches the row, but the page body was also read as 267-9655. That second number is H&amp;H BROWN'S, verified this same session at 1803 POLK STREET - the building next door. Two steel-and-construction firms, adjacent addresses, numbers one digit apart: an easy misdial in either direction, and possibly related companies. Keep 267-9665 for JBH, 267-9655 for H&amp;H Brown (row 540), and confirm whose is whose on the first call. Certified AISC fabricator doing structural and miscellaneous carbon, aluminium and stainless fabrication AND erection - boom trucks and flatbeds. Two calls, one stop.</t>
        </is>
      </c>
    </row>
    <row r="128">
      <c r="A128" s="7" t="inlineStr">
        <is>
          <t>A</t>
        </is>
      </c>
      <c r="B128" s="9" t="inlineStr">
        <is>
          <t>Confirmed on company site</t>
        </is>
      </c>
      <c r="C128" s="9" t="inlineStr">
        <is>
          <t>JDB Construction &amp; Roofing</t>
        </is>
      </c>
      <c r="D128" s="9" t="inlineStr">
        <is>
          <t>Roofing / Gutters / Construction</t>
        </is>
      </c>
      <c r="E128" s="9" t="inlineStr">
        <is>
          <t>(423) 394-8486</t>
        </is>
      </c>
      <c r="F128" s="9" t="inlineStr">
        <is>
          <t>Chattanooga</t>
        </is>
      </c>
      <c r="G128" s="9" t="inlineStr">
        <is>
          <t>2901 E 26th St</t>
        </is>
      </c>
      <c r="H128" s="9" t="inlineStr">
        <is>
          <t>37407</t>
        </is>
      </c>
      <c r="I128" s="9" t="n"/>
      <c r="J128" s="9" t="inlineStr">
        <is>
          <t>jdbconstructionllc.com</t>
        </is>
      </c>
      <c r="K128" s="10" t="n"/>
      <c r="L128" s="10" t="n"/>
      <c r="M128" s="10" t="n"/>
      <c r="N128" s="10" t="n"/>
      <c r="O128" s="9" t="inlineStr">
        <is>
          <t>OFFICIAL SITE 2026-09-04: phone (423) 394-8486 RE-CONFIRMED on jdbconstructionllc.com. THE SERVICE RADIUS IS CONFIRMED IN THEIR OWN WORDS: Chattanooga, Ringgold, Hixson, Soddy-Daisy and greater Hamilton County, doing roofing, storm-damage repair, metal roofing and gutters - real windshield miles, especially the storm work. CAUTION: their site does not publish the 2901 E 26th St address on file, so that line is unverified.</t>
        </is>
      </c>
    </row>
    <row r="129">
      <c r="A129" s="7" t="inlineStr">
        <is>
          <t>A</t>
        </is>
      </c>
      <c r="B129" s="9" t="inlineStr">
        <is>
          <t>Confirmed on company site</t>
        </is>
      </c>
      <c r="C129" s="9" t="inlineStr">
        <is>
          <t>JDH Company, Inc.</t>
        </is>
      </c>
      <c r="D129" s="9" t="inlineStr">
        <is>
          <t>Commercial Roofing &amp; Sheet Metal</t>
        </is>
      </c>
      <c r="E129" s="9" t="inlineStr">
        <is>
          <t>(423) 267-7663</t>
        </is>
      </c>
      <c r="F129" s="9" t="inlineStr">
        <is>
          <t>Chattanooga</t>
        </is>
      </c>
      <c r="G129" s="9" t="inlineStr">
        <is>
          <t>1133 E. Main Street</t>
        </is>
      </c>
      <c r="H129" s="9" t="inlineStr">
        <is>
          <t>37424</t>
        </is>
      </c>
      <c r="I129" s="9" t="inlineStr">
        <is>
          <t>info@jdhcompany.com</t>
        </is>
      </c>
      <c r="J129" s="9" t="inlineStr">
        <is>
          <t>jdhcompany.com</t>
        </is>
      </c>
      <c r="K129" s="10" t="n"/>
      <c r="L129" s="10" t="n"/>
      <c r="M129" s="10" t="n"/>
      <c r="N129" s="10" t="n"/>
      <c r="O129" s="9" t="inlineStr">
        <is>
          <t>OFFICIAL SITE 2026-09-04: phone (423) 267-7663, address 1133 E. Main Street 37424 and info@jdhcompany.com ALL RE-CONFIRMED; fax (423) 265-7347, toll-free (888) 259-9153, mailing PO Box 28053. Commercial roofing and sheet metal - EPDM, TPO, modified and built-up systems. THE CAREERS-PAGE TELL STANDS AND IS WORTH ACTING ON: they advertise for a Small Engines Mechanic and Maintenance Tech, so they maintain their own equipment in house - which means an actual maintenance decision-maker to talk to rather than an office manager.</t>
        </is>
      </c>
    </row>
    <row r="130">
      <c r="A130" s="7" t="inlineStr">
        <is>
          <t>A</t>
        </is>
      </c>
      <c r="B130" s="9" t="inlineStr">
        <is>
          <t>Confirmed on company site</t>
        </is>
      </c>
      <c r="C130" s="9" t="inlineStr">
        <is>
          <t>Johnston Enterprises</t>
        </is>
      </c>
      <c r="D130" s="9" t="inlineStr">
        <is>
          <t>Facilities Maintenance / Landscaping</t>
        </is>
      </c>
      <c r="E130" s="9" t="inlineStr">
        <is>
          <t>(423) 206-9999</t>
        </is>
      </c>
      <c r="F130" s="9" t="inlineStr">
        <is>
          <t>Soddy-Daisy</t>
        </is>
      </c>
      <c r="G130" s="9" t="inlineStr">
        <is>
          <t>PO Box 459</t>
        </is>
      </c>
      <c r="H130" s="9" t="inlineStr">
        <is>
          <t>37384</t>
        </is>
      </c>
      <c r="I130" s="9" t="inlineStr">
        <is>
          <t>joe@repairmaintain.com</t>
        </is>
      </c>
      <c r="J130" s="9" t="inlineStr">
        <is>
          <t>repairmaintain.com</t>
        </is>
      </c>
      <c r="K130" s="10" t="n"/>
      <c r="L130" s="10" t="n"/>
      <c r="M130" s="10" t="n"/>
      <c r="N130" s="10" t="n"/>
      <c r="O130" s="9" t="inlineStr">
        <is>
          <t>OFFICIAL SITE 2026-09-04: phone (423) 206-9999, PO Box 459, Soddy-Daisy 37384 and joe@repairmaintain.com ALL RE-CONFIRMED on their own contact page, with Joe McCroskey confirmed as the operations contact - so the steer to ask for him stands, since operations owns the vehicles. THE MILEAGE POINT IS CONFIRMED: they run a dedicated 'Traveling Construction Tradesman' page of their own, alongside facilities maintenance, landscaping, asset protection and subcontracting. High-mileage crews.</t>
        </is>
      </c>
    </row>
    <row r="131">
      <c r="A131" s="7" t="inlineStr">
        <is>
          <t>A</t>
        </is>
      </c>
      <c r="B131" s="9" t="inlineStr">
        <is>
          <t>Confirmed on company site</t>
        </is>
      </c>
      <c r="C131" s="9" t="inlineStr">
        <is>
          <t>Keefe Plumbing Co</t>
        </is>
      </c>
      <c r="D131" s="9" t="inlineStr">
        <is>
          <t>Plumbing / Sewer &amp; Water Lines</t>
        </is>
      </c>
      <c r="E131" s="9" t="inlineStr">
        <is>
          <t>(423) 622-3178</t>
        </is>
      </c>
      <c r="F131" s="9" t="inlineStr">
        <is>
          <t>Chattanooga</t>
        </is>
      </c>
      <c r="G131" s="9" t="inlineStr">
        <is>
          <t>1820 East 23rd St.</t>
        </is>
      </c>
      <c r="H131" s="9" t="inlineStr">
        <is>
          <t>37404</t>
        </is>
      </c>
      <c r="I131" s="9" t="n"/>
      <c r="J131" s="9" t="inlineStr">
        <is>
          <t>keefeplumbing.com</t>
        </is>
      </c>
      <c r="K131" s="10" t="n"/>
      <c r="L131" s="10" t="n"/>
      <c r="M131" s="10" t="n"/>
      <c r="N131" s="10" t="n"/>
      <c r="O131" s="9" t="inlineStr">
        <is>
          <t>OFFICIAL SITE 2026-09-04: phone (423) 622-3178 and address 1820 E 23rd St RE-CONFIRMED, and the ZIP FOUND where the row had none - their contact page gives 37404. Added. Hours Mon-Fri 7:30-16:30 with WEEKEND EMERGENCY cover, which is what puts vans out at odd hours. Master plumbers across Tennessee and Georgia doing sewer and water lines, underground leak repair, backflow devices, water heaters and drain cleaning - service vans plus excavation trucks. No email published.</t>
        </is>
      </c>
    </row>
    <row r="132">
      <c r="A132" s="7" t="inlineStr">
        <is>
          <t>A</t>
        </is>
      </c>
      <c r="B132" s="9" t="inlineStr">
        <is>
          <t>Confirmed on company site</t>
        </is>
      </c>
      <c r="C132" s="9" t="inlineStr">
        <is>
          <t>Kia of Chattanooga</t>
        </is>
      </c>
      <c r="D132" s="9" t="inlineStr">
        <is>
          <t>Auto Dealership</t>
        </is>
      </c>
      <c r="E132" s="9" t="inlineStr">
        <is>
          <t>(423) 855-1022</t>
        </is>
      </c>
      <c r="F132" s="9" t="inlineStr">
        <is>
          <t>Chattanooga</t>
        </is>
      </c>
      <c r="G132" s="9" t="inlineStr">
        <is>
          <t>2136 Chapman Rd</t>
        </is>
      </c>
      <c r="H132" s="9" t="inlineStr">
        <is>
          <t>37421</t>
        </is>
      </c>
      <c r="I132" s="9" t="n"/>
      <c r="J132" s="9" t="inlineStr">
        <is>
          <t>kiaofchattanooga.com</t>
        </is>
      </c>
      <c r="K132" s="10" t="n"/>
      <c r="L132" s="10" t="n"/>
      <c r="M132" s="10" t="n"/>
      <c r="N132" s="10" t="n"/>
      <c r="O132" s="9" t="inlineStr">
        <is>
          <t>Phone re-checked 2026-09-04 against their own site - unchanged and correct. Same number reaches service and parts.</t>
        </is>
      </c>
    </row>
    <row r="133">
      <c r="A133" s="7" t="inlineStr">
        <is>
          <t>A</t>
        </is>
      </c>
      <c r="B133" s="9" t="inlineStr">
        <is>
          <t>Confirmed on company site</t>
        </is>
      </c>
      <c r="C133" s="9" t="inlineStr">
        <is>
          <t>King Industries Inc.</t>
        </is>
      </c>
      <c r="D133" s="9" t="inlineStr">
        <is>
          <t>Industrial Mechanical Design, Construction &amp; Installation</t>
        </is>
      </c>
      <c r="E133" s="9" t="inlineStr">
        <is>
          <t>(423) 622-4500</t>
        </is>
      </c>
      <c r="F133" s="9" t="inlineStr">
        <is>
          <t>Chattanooga</t>
        </is>
      </c>
      <c r="G133" s="9" t="inlineStr">
        <is>
          <t>3945 Cromwell Road</t>
        </is>
      </c>
      <c r="H133" s="9" t="inlineStr">
        <is>
          <t>37421</t>
        </is>
      </c>
      <c r="I133" s="9" t="inlineStr">
        <is>
          <t>king1@king-industries.com</t>
        </is>
      </c>
      <c r="J133" s="9" t="inlineStr">
        <is>
          <t>king-industries.com</t>
        </is>
      </c>
      <c r="K133" s="10" t="n"/>
      <c r="L133" s="10" t="n"/>
      <c r="M133" s="10" t="n"/>
      <c r="N133" s="10" t="n"/>
      <c r="O133" s="9" t="inlineStr">
        <is>
          <t>OFFICIAL SITE 2026-09-04: phone (423) 622-4500, address 3945 Cromwell Road 37421 and king1@king-industries.com ALL RE-CONFIRMED. THREE MORE NUMBERS on their own contact page if the main line stalls: 800-546-7784, 423-624-6763 and 423-892-7068. Nationwide industrial general mechanical design and construction since 1987, with dedicated POWER and AUTOMOTIVE industry pages - millwright crews and equipment travelling to power plants and car plants. The automotive page is a useful adjacency.</t>
        </is>
      </c>
    </row>
    <row r="134">
      <c r="A134" s="7" t="inlineStr">
        <is>
          <t>A</t>
        </is>
      </c>
      <c r="B134" s="9" t="inlineStr">
        <is>
          <t>Confirmed on company site</t>
        </is>
      </c>
      <c r="C134" s="9" t="inlineStr">
        <is>
          <t>Kleenco Construction Of TN</t>
        </is>
      </c>
      <c r="D134" s="9" t="inlineStr">
        <is>
          <t>Asphalt &amp; Concrete Paving</t>
        </is>
      </c>
      <c r="E134" s="9" t="inlineStr">
        <is>
          <t>(423) 624-4111</t>
        </is>
      </c>
      <c r="F134" s="9" t="inlineStr">
        <is>
          <t>Chattanooga</t>
        </is>
      </c>
      <c r="G134" s="9" t="inlineStr">
        <is>
          <t>1227 Latta Street</t>
        </is>
      </c>
      <c r="H134" s="9" t="inlineStr">
        <is>
          <t>37406</t>
        </is>
      </c>
      <c r="I134" s="9" t="inlineStr">
        <is>
          <t>info@kleencoconstruction.com</t>
        </is>
      </c>
      <c r="J134" s="9" t="inlineStr">
        <is>
          <t>kleencoconstruction.com</t>
        </is>
      </c>
      <c r="K134" s="10" t="n"/>
      <c r="L134" s="10" t="n"/>
      <c r="M134" s="10" t="n"/>
      <c r="N134" s="10" t="n"/>
      <c r="O134" s="9" t="inlineStr">
        <is>
          <t>OFFICIAL SITE 2026-09-04: phone (423) 624-4111, address 1227 Latta Street 37406 and info@kleencoconstruction.com ALL RE-CONFIRMED. Office Mon-Fri 9:00-17:00 but SUPPORT 24/7 on their own account. Commercial and municipal asphalt paving with areas-served pages for Ooltewah, Signal Mountain and Dayton - trucks, rollers and sealcoat rigs covering the county. Municipal contracts mean night work.</t>
        </is>
      </c>
    </row>
    <row r="135">
      <c r="A135" s="7" t="inlineStr">
        <is>
          <t>A</t>
        </is>
      </c>
      <c r="B135" s="9" t="inlineStr">
        <is>
          <t>Confirmed on company site</t>
        </is>
      </c>
      <c r="C135" s="9" t="inlineStr">
        <is>
          <t>KTM BUILDERS, LLC</t>
        </is>
      </c>
      <c r="D135" s="9" t="inlineStr">
        <is>
          <t>General Contractor - Hospitality, Retail, Restaurant, Automotive</t>
        </is>
      </c>
      <c r="E135" s="9" t="inlineStr">
        <is>
          <t>(423) 498-5200</t>
        </is>
      </c>
      <c r="F135" s="9" t="inlineStr">
        <is>
          <t>Chattanooga</t>
        </is>
      </c>
      <c r="G135" s="9" t="n"/>
      <c r="H135" s="9" t="n"/>
      <c r="I135" s="9" t="inlineStr">
        <is>
          <t>info@ktmbuildersllc.com</t>
        </is>
      </c>
      <c r="J135" s="9" t="inlineStr">
        <is>
          <t>ktmbuildersllc.com</t>
        </is>
      </c>
      <c r="K135" s="10" t="n"/>
      <c r="L135" s="10" t="n"/>
      <c r="M135" s="10" t="n"/>
      <c r="N135" s="10" t="n"/>
      <c r="O135" s="9" t="inlineStr">
        <is>
          <t>OFFICIAL SITE 2026-09-04: phone (423) 498-5200 RE-CONFIRMED and info@ktmbuildersllc.com holds. THE MILEAGE CLAIM IS CONFIRMED BY THEIR OWN PORTFOLIO: Outback Steakhouse in Liberty Township OHIO and Phenix City ALABAMA, Valvoline in Grovetown GEORGIA as well as Ooltewah - superintendents running multi-state. The automotive adjacency is real too: those Valvoline quick-lube builds are vehicle-service sites. No street address published.</t>
        </is>
      </c>
    </row>
    <row r="136">
      <c r="A136" s="7" t="inlineStr">
        <is>
          <t>A</t>
        </is>
      </c>
      <c r="B136" s="9" t="inlineStr">
        <is>
          <t>Confirmed on company site</t>
        </is>
      </c>
      <c r="C136" s="9" t="inlineStr">
        <is>
          <t>Lane Steel Fabricators</t>
        </is>
      </c>
      <c r="D136" s="9" t="inlineStr">
        <is>
          <t>Structural &amp; Miscellaneous Steel Fabrication</t>
        </is>
      </c>
      <c r="E136" s="9" t="inlineStr">
        <is>
          <t>(423) 867-2846</t>
        </is>
      </c>
      <c r="F136" s="9" t="inlineStr">
        <is>
          <t>Chattanooga</t>
        </is>
      </c>
      <c r="G136" s="9" t="inlineStr">
        <is>
          <t>4311 7th Avenue</t>
        </is>
      </c>
      <c r="H136" s="9" t="inlineStr">
        <is>
          <t>37407</t>
        </is>
      </c>
      <c r="I136" s="9" t="inlineStr">
        <is>
          <t>sales@lanesteelfab.us</t>
        </is>
      </c>
      <c r="J136" s="9" t="inlineStr">
        <is>
          <t>lanesteelfab.us</t>
        </is>
      </c>
      <c r="K136" s="10" t="n"/>
      <c r="L136" s="10" t="n"/>
      <c r="M136" s="10" t="n"/>
      <c r="N136" s="10" t="n"/>
      <c r="O136" s="9" t="inlineStr">
        <is>
          <t>OFFICIAL SITE 2026-09-04: phone (423) 867-2846, address 4311 7th Avenue 37407 and sales@lanesteelfab.us ALL RE-CONFIRMED. Family owned with 55+ years in the trade: structural steel, miscellaneous steel, custom handrails and stairs. THE SHARED-ADDRESS QUESTION STANDS AND IS NOW CONFIRMED FROM BOTH SIDES - CreteStar (row 512) publishes the same 4311 7th Avenue on its own site, verified this session. Shared premises or related ownership; either way it is genuinely two calls in one stop.</t>
        </is>
      </c>
    </row>
    <row r="137">
      <c r="A137" s="7" t="inlineStr">
        <is>
          <t>A</t>
        </is>
      </c>
      <c r="B137" s="9" t="inlineStr">
        <is>
          <t>Confirmed on company site</t>
        </is>
      </c>
      <c r="C137" s="9" t="inlineStr">
        <is>
          <t>Lawn Pros of Chattanooga</t>
        </is>
      </c>
      <c r="D137" s="9" t="inlineStr">
        <is>
          <t>Lawn Care / Landscaping / Irrigation</t>
        </is>
      </c>
      <c r="E137" s="9" t="inlineStr">
        <is>
          <t>(423) 667-1787</t>
        </is>
      </c>
      <c r="F137" s="9" t="inlineStr">
        <is>
          <t>Chattanooga</t>
        </is>
      </c>
      <c r="G137" s="9" t="n"/>
      <c r="H137" s="9" t="n"/>
      <c r="I137" s="9" t="inlineStr">
        <is>
          <t>custserv@lawnproschattanooga.com</t>
        </is>
      </c>
      <c r="J137" s="9" t="inlineStr">
        <is>
          <t>lawnproschattanooga.com</t>
        </is>
      </c>
      <c r="K137" s="10" t="n"/>
      <c r="L137" s="10" t="n"/>
      <c r="M137" s="10" t="n"/>
      <c r="N137" s="10" t="n"/>
      <c r="O137" s="9" t="inlineStr">
        <is>
          <t>OFFICIAL SITE 2026-09-04: phone (423) 667-1787 RE-CONFIRMED, and custserv@lawnproschattanooga.com holds. SERVICE AREA CONFIRMED AND WIDER THAN THE ROW SUGGESTS: Chattanooga, Soddy-Daisy, Hixson, Cleveland, KNOXVILLE and north Georgia - that is real mileage for a lawn crew. They install, service and repair irrigation systems as well as mow. The New York address on their site is still template leftover; ignore it. No real street address published.</t>
        </is>
      </c>
    </row>
    <row r="138">
      <c r="A138" s="7" t="inlineStr">
        <is>
          <t>A</t>
        </is>
      </c>
      <c r="B138" s="9" t="inlineStr">
        <is>
          <t>Confirmed on company site</t>
        </is>
      </c>
      <c r="C138" s="9" t="inlineStr">
        <is>
          <t>Lawson Electric Co</t>
        </is>
      </c>
      <c r="D138" s="9" t="inlineStr">
        <is>
          <t>Electrical Contractor</t>
        </is>
      </c>
      <c r="E138" s="9" t="inlineStr">
        <is>
          <t>(423) 267-5471</t>
        </is>
      </c>
      <c r="F138" s="9" t="inlineStr">
        <is>
          <t>Hixson</t>
        </is>
      </c>
      <c r="G138" s="9" t="inlineStr">
        <is>
          <t>6246 Dayton Blvd</t>
        </is>
      </c>
      <c r="H138" s="9" t="inlineStr">
        <is>
          <t>37343</t>
        </is>
      </c>
      <c r="I138" s="9" t="inlineStr">
        <is>
          <t>info@lawsonelectric.com</t>
        </is>
      </c>
      <c r="J138" s="9" t="inlineStr">
        <is>
          <t>lawsonelectric.com</t>
        </is>
      </c>
      <c r="K138" s="10" t="n"/>
      <c r="L138" s="10" t="n"/>
      <c r="M138" s="10" t="n"/>
      <c r="N138" s="10" t="n"/>
      <c r="O138" s="9" t="inlineStr">
        <is>
          <t>OFFICIAL SITE 2026-09-04: phone (423) 267-5471, address 6246 Dayton Blvd 37343 and info@lawsonelectric.com ALL RE-CONFIRMED - and their site names this the CORPORATE HEADQUARTERS, not a branch. Fax (423) 266-4368, hours Mon-Fri 7:00-17:30. Electrical contractor since 1925 running commercial, industrial and residential divisions out of Chattanooga, Nashville, Dalton and Manchester - the HQ service fleet here is the prize, and the residential arm has its own site at residential.lawsonelectric.com.</t>
        </is>
      </c>
    </row>
    <row r="139">
      <c r="A139" s="7" t="inlineStr">
        <is>
          <t>A</t>
        </is>
      </c>
      <c r="B139" s="9" t="inlineStr">
        <is>
          <t>Confirmed on company site</t>
        </is>
      </c>
      <c r="C139" s="9" t="inlineStr">
        <is>
          <t>Liberty Land Carriers</t>
        </is>
      </c>
      <c r="D139" s="9" t="inlineStr">
        <is>
          <t>Trucking / Freight Carrier</t>
        </is>
      </c>
      <c r="E139" s="9" t="inlineStr">
        <is>
          <t>(423) 805-3065</t>
        </is>
      </c>
      <c r="F139" s="9" t="inlineStr">
        <is>
          <t>Hixson</t>
        </is>
      </c>
      <c r="G139" s="9" t="inlineStr">
        <is>
          <t>PO Box 692</t>
        </is>
      </c>
      <c r="H139" s="9" t="inlineStr">
        <is>
          <t>37343</t>
        </is>
      </c>
      <c r="I139" s="9" t="inlineStr">
        <is>
          <t>mattsr@libertyllc.org</t>
        </is>
      </c>
      <c r="J139" s="9" t="inlineStr">
        <is>
          <t>libertylandcarriers.com</t>
        </is>
      </c>
      <c r="K139" s="10" t="n"/>
      <c r="L139" s="10" t="n"/>
      <c r="M139" s="10" t="n"/>
      <c r="N139" s="10" t="n"/>
      <c r="O139" s="9" t="inlineStr">
        <is>
          <t>OFFICIAL SITE 2026-09-04: phone (423) 805-3065 and PO Box 692, Hixson 37343 RE-CONFIRMED; fax (615) 523-0638. FOUR NAMED OPERATIONS INBOXES confirmed on their own staff page - mattsr@, mattjr@, tiffany@ and chandler@libertyllc.org - so a father-and-son operation with real people to reach. The libertyllc.org email domain differing from the website is confirmed as theirs, not a mismatch. CAVEAT WORTH RAISING: they run both a Drivers page and an OWNER OPERATOR page, so part of the fleet may be driver-owned - ask how many tractors the company itself holds. Still one of the best finds in the queue: a carrier on your doorstep in Hixson.</t>
        </is>
      </c>
    </row>
    <row r="140">
      <c r="A140" s="7" t="inlineStr">
        <is>
          <t>A</t>
        </is>
      </c>
      <c r="B140" s="9" t="inlineStr">
        <is>
          <t>Confirmed on company site</t>
        </is>
      </c>
      <c r="C140" s="9" t="inlineStr">
        <is>
          <t>Life Care Center of Collegedale</t>
        </is>
      </c>
      <c r="D140" s="9" t="inlineStr">
        <is>
          <t>Skilled Nursing / Rehab Facility</t>
        </is>
      </c>
      <c r="E140" s="9" t="inlineStr">
        <is>
          <t>(423) 396-2182</t>
        </is>
      </c>
      <c r="F140" s="9" t="inlineStr">
        <is>
          <t>Collegedale</t>
        </is>
      </c>
      <c r="G140" s="9" t="inlineStr">
        <is>
          <t>9210 Apison Pike</t>
        </is>
      </c>
      <c r="H140" s="9" t="inlineStr">
        <is>
          <t>37315</t>
        </is>
      </c>
      <c r="I140" s="9" t="n"/>
      <c r="J140" s="9" t="inlineStr">
        <is>
          <t>lifecarecenterofcollegedale.com</t>
        </is>
      </c>
      <c r="K140" s="10" t="n"/>
      <c r="L140" s="10" t="n"/>
      <c r="M140" s="10" t="n"/>
      <c r="N140" s="10" t="n"/>
      <c r="O140" s="9" t="inlineStr">
        <is>
          <t>OFFICIAL SITE 2026-09-04: phone (423) 396-2182 RE-CONFIRMED on their own contact page, address 9210 Apison Pike 37315 confirmed. Still no email published; fax 423-396-3420. Skilled nursing and rehab - the fleet here is resident-transport vans, run by the facilities or transport coordinator rather than the front desk.</t>
        </is>
      </c>
    </row>
    <row r="141">
      <c r="A141" s="7" t="inlineStr">
        <is>
          <t>A</t>
        </is>
      </c>
      <c r="B141" s="9" t="inlineStr">
        <is>
          <t>Confirmed on company site</t>
        </is>
      </c>
      <c r="C141" s="9" t="inlineStr">
        <is>
          <t>Long Of Chattanooga Mercedes</t>
        </is>
      </c>
      <c r="D141" s="9" t="inlineStr">
        <is>
          <t>Mercedes-Benz Dealership</t>
        </is>
      </c>
      <c r="E141" s="9" t="inlineStr">
        <is>
          <t>(423) 598-3800</t>
        </is>
      </c>
      <c r="F141" s="9" t="inlineStr">
        <is>
          <t>Chattanooga</t>
        </is>
      </c>
      <c r="G141" s="9" t="inlineStr">
        <is>
          <t>6039 International Dr.</t>
        </is>
      </c>
      <c r="H141" s="9" t="inlineStr">
        <is>
          <t>37421</t>
        </is>
      </c>
      <c r="I141" s="9" t="n"/>
      <c r="J141" s="9" t="inlineStr">
        <is>
          <t>longofchatt.com</t>
        </is>
      </c>
      <c r="K141" s="10" t="n"/>
      <c r="L141" s="10" t="n"/>
      <c r="M141" s="10" t="n"/>
      <c r="N141" s="10" t="n"/>
      <c r="O141" s="9" t="inlineStr">
        <is>
          <t>OFFICIAL SITE 2026-09-04: sales (423) 598-3800 and address 6039 International Dr 37421 RE-CONFIRMED - and SERVICE (423) 855-5664 confirmed too, which is the number to dial, not the sales floor. BETTER STILL: their site runs a dedicated 'The Body Shop at Long' page - a body shop inside the dealer group is the department that actually buys glass, and Mercedes glass is expensive enough that they often sublet it. Ask for the body shop first, service second. Loaner fleet on top. CROSS-REFERENCE: row 10, Long Hyundai at 6035 International Dr, was found on 09-04 to be carrying THIS dealership's number - the two share a campus, so keep the pair straight.</t>
        </is>
      </c>
    </row>
    <row r="142">
      <c r="A142" s="7" t="inlineStr">
        <is>
          <t>A</t>
        </is>
      </c>
      <c r="B142" s="9" t="inlineStr">
        <is>
          <t>Confirmed on company site</t>
        </is>
      </c>
      <c r="C142" s="9" t="inlineStr">
        <is>
          <t>Lowder and Lowder Construction, Inc.</t>
        </is>
      </c>
      <c r="D142" s="9" t="inlineStr">
        <is>
          <t>General Contractor / Concrete / Masonry</t>
        </is>
      </c>
      <c r="E142" s="9" t="inlineStr">
        <is>
          <t>(423) 870-1731</t>
        </is>
      </c>
      <c r="F142" s="9" t="inlineStr">
        <is>
          <t>Chattanooga</t>
        </is>
      </c>
      <c r="G142" s="9" t="n"/>
      <c r="H142" s="9" t="n"/>
      <c r="I142" s="9" t="n"/>
      <c r="J142" s="9" t="inlineStr">
        <is>
          <t>lowderandlowderconstruction.com</t>
        </is>
      </c>
      <c r="K142" s="10" t="n"/>
      <c r="L142" s="10" t="n"/>
      <c r="M142" s="10" t="n"/>
      <c r="N142" s="10" t="n"/>
      <c r="O142" s="9" t="inlineStr">
        <is>
          <t>OFFICIAL SITE 2026-09-04: phone (423) 870-1731 RE-CONFIRMED - they run it in the title of nearly every page on their site. Licensed in TENNESSEE AND GEORGIA with 45+ years, doing concrete, masonry, hardscaping, trenching, carpentry, roofing, renovations AND fire and flood restoration - restoration work is call-out work, which puts trucks on the road at short notice. Service-area pages reach Middle Valley and across the state line, so the high-mileage note holds. No street address published.</t>
        </is>
      </c>
    </row>
    <row r="143">
      <c r="A143" s="7" t="inlineStr">
        <is>
          <t>A</t>
        </is>
      </c>
      <c r="B143" s="9" t="inlineStr">
        <is>
          <t>Confirmed on company site</t>
        </is>
      </c>
      <c r="C143" s="9" t="inlineStr">
        <is>
          <t>Lumberjacks Tree Service</t>
        </is>
      </c>
      <c r="D143" s="9" t="inlineStr">
        <is>
          <t>Tree Service</t>
        </is>
      </c>
      <c r="E143" s="9" t="inlineStr">
        <is>
          <t>(423) 760-8733</t>
        </is>
      </c>
      <c r="F143" s="9" t="inlineStr">
        <is>
          <t>Chattanooga</t>
        </is>
      </c>
      <c r="G143" s="9" t="inlineStr">
        <is>
          <t>4165 Bonny Oaks Dr</t>
        </is>
      </c>
      <c r="H143" s="9" t="inlineStr">
        <is>
          <t>37406</t>
        </is>
      </c>
      <c r="I143" s="9" t="inlineStr">
        <is>
          <t>info@lumberjackstn.com</t>
        </is>
      </c>
      <c r="J143" s="9" t="inlineStr">
        <is>
          <t>lumberjackstn.com</t>
        </is>
      </c>
      <c r="K143" s="10" t="n"/>
      <c r="L143" s="10" t="n"/>
      <c r="M143" s="10" t="n"/>
      <c r="N143" s="10" t="n"/>
      <c r="O143" s="9" t="inlineStr">
        <is>
          <t>OFFICIAL SITE 2026-09-04: phone (423) 760-8733 RE-CONFIRMED - they publish it as 423-760-TREE. Address 4165 Bonny Oaks Dr confirmed as the tree-service yard, but their site gives the ZIP as 37406, not the 37421 on file - corrected. SECOND LOCATION: Lumberjacks Hardwood Center, 4123 Cromwell Rd, (423) 624-0000, shop@lumberjackstn.com - a separate retail yard under the same owner, so two fleets not one. Tree crews run bucket trucks and chip trucks, the windshield-cracking end of the trade.</t>
        </is>
      </c>
    </row>
    <row r="144">
      <c r="A144" s="7" t="inlineStr">
        <is>
          <t>A</t>
        </is>
      </c>
      <c r="B144" s="9" t="inlineStr">
        <is>
          <t>Confirmed on company site</t>
        </is>
      </c>
      <c r="C144" s="9" t="inlineStr">
        <is>
          <t>Marion Environmental, Inc.</t>
        </is>
      </c>
      <c r="D144" s="9" t="inlineStr">
        <is>
          <t>Environmental Services / Hazardous Waste Hauling</t>
        </is>
      </c>
      <c r="E144" s="9" t="inlineStr">
        <is>
          <t>(423) 499-4919</t>
        </is>
      </c>
      <c r="F144" s="9" t="inlineStr">
        <is>
          <t>Chattanooga</t>
        </is>
      </c>
      <c r="G144" s="9" t="inlineStr">
        <is>
          <t>115 Parmenas Lane</t>
        </is>
      </c>
      <c r="H144" s="9" t="inlineStr">
        <is>
          <t>37405</t>
        </is>
      </c>
      <c r="I144" s="9" t="n"/>
      <c r="J144" s="9" t="inlineStr">
        <is>
          <t>marionenv.com</t>
        </is>
      </c>
      <c r="K144" s="10" t="n"/>
      <c r="L144" s="10" t="n"/>
      <c r="M144" s="10" t="n"/>
      <c r="N144" s="10" t="n"/>
      <c r="O144" s="9" t="inlineStr">
        <is>
          <t>OFFICIAL SITE 2026-09-04: phone (423) 499-4919 and address 115 Parmenas Lane 37405 RE-CONFIRMED; fax 423-892-5122. Their own newsletters confirm the TVA contract and a Nashville expansion. Full-service environmental consulting, EMERGENCY RESPONSE, industrial services and hazardous and non-hazardous HAULING - emergency response means trucks rolling at any hour. Note row 583, MEI/AQUA TREAT, shares this address; the two are related, so one conversation may cover both.</t>
        </is>
      </c>
    </row>
    <row r="145">
      <c r="A145" s="7" t="inlineStr">
        <is>
          <t>A</t>
        </is>
      </c>
      <c r="B145" s="9" t="inlineStr">
        <is>
          <t>Confirmed on company site</t>
        </is>
      </c>
      <c r="C145" s="9" t="inlineStr">
        <is>
          <t>Marshal Mize Ford</t>
        </is>
      </c>
      <c r="D145" s="9" t="inlineStr">
        <is>
          <t>Ford Dealership / Fleet Sales &amp; Service</t>
        </is>
      </c>
      <c r="E145" s="9" t="inlineStr">
        <is>
          <t>(423) 875-2023</t>
        </is>
      </c>
      <c r="F145" s="9" t="inlineStr">
        <is>
          <t>Hixson</t>
        </is>
      </c>
      <c r="G145" s="9" t="inlineStr">
        <is>
          <t>5348 Highway 153</t>
        </is>
      </c>
      <c r="H145" s="9" t="inlineStr">
        <is>
          <t>37343</t>
        </is>
      </c>
      <c r="I145" s="9" t="n"/>
      <c r="J145" s="9" t="inlineStr">
        <is>
          <t>marshalmizeford.com</t>
        </is>
      </c>
      <c r="K145" s="10" t="n"/>
      <c r="L145" s="10" t="n"/>
      <c r="M145" s="10" t="n"/>
      <c r="N145" s="10" t="n"/>
      <c r="O145" s="9" t="inlineStr">
        <is>
          <t>OFFICIAL SITE 2026-09-04: all four departmental numbers RE-CONFIRMED at 5348 Highway 153 (their site writes the city as Chattanooga 37343-4946, not Hixson). CALL COLLISION FIRST: 423-870-9573. Then service 423-875-2058 and parts 423-870-4053. Sales, the (423) 875-2023 on file, is the wrong desk for glass - it stays in the Phone column as the main published line but should not be the one dialled. A first search also threw up 423-531-2798 for sales, which looks like a call-tracking number; the 875-2023 is the one their contact page carries. They also run FORD MOBILE SERVICE - a service-van fleet on top of the dealer lot and body shop. Sales hours Mon-Fri 9-19, Sat 9-18, closed Sun.</t>
        </is>
      </c>
    </row>
    <row r="146">
      <c r="A146" s="7" t="inlineStr">
        <is>
          <t>A</t>
        </is>
      </c>
      <c r="B146" s="9" t="inlineStr">
        <is>
          <t>Confirmed on company site</t>
        </is>
      </c>
      <c r="C146" s="9" t="inlineStr">
        <is>
          <t>Massey Services</t>
        </is>
      </c>
      <c r="D146" s="9" t="inlineStr">
        <is>
          <t>Pest Control</t>
        </is>
      </c>
      <c r="E146" s="9" t="inlineStr">
        <is>
          <t>(423) 892-5950</t>
        </is>
      </c>
      <c r="F146" s="9" t="inlineStr">
        <is>
          <t>Chattanooga</t>
        </is>
      </c>
      <c r="G146" s="9" t="inlineStr">
        <is>
          <t>4315 N Creek Rd</t>
        </is>
      </c>
      <c r="H146" s="9" t="inlineStr">
        <is>
          <t>37406</t>
        </is>
      </c>
      <c r="I146" s="9" t="n"/>
      <c r="J146" s="9" t="inlineStr">
        <is>
          <t>masseyservices.com</t>
        </is>
      </c>
      <c r="K146" s="10" t="n"/>
      <c r="L146" s="10" t="n"/>
      <c r="M146" s="10" t="n"/>
      <c r="N146" s="10" t="n"/>
      <c r="O146" s="9" t="inlineStr">
        <is>
          <t>OFFICIAL SITE 2026-09-04: phone (423) 892-5950 RE-CONFIRMED on masseyservices.com/chattanooga, address 4315 N Creek Rd 37406 confirmed. Hours Mon-Fri 7:00-20:00, Sat 8:00-14:00 - long service days mean high fleet mileage. They run a separate commercial division page for this location; that is the side with the bigger truck count.</t>
        </is>
      </c>
    </row>
    <row r="147">
      <c r="A147" s="7" t="inlineStr">
        <is>
          <t>A</t>
        </is>
      </c>
      <c r="B147" s="9" t="inlineStr">
        <is>
          <t>Confirmed on company site</t>
        </is>
      </c>
      <c r="C147" s="9" t="inlineStr">
        <is>
          <t>Maven Group LLC</t>
        </is>
      </c>
      <c r="D147" s="9" t="inlineStr">
        <is>
          <t>Commercial Concrete &amp; Civil Construction</t>
        </is>
      </c>
      <c r="E147" s="9" t="inlineStr">
        <is>
          <t>(423) 541-1270</t>
        </is>
      </c>
      <c r="F147" s="9" t="inlineStr">
        <is>
          <t>Chattanooga</t>
        </is>
      </c>
      <c r="G147" s="9" t="inlineStr">
        <is>
          <t>1500 East 42nd Street</t>
        </is>
      </c>
      <c r="H147" s="9" t="inlineStr">
        <is>
          <t>37407</t>
        </is>
      </c>
      <c r="I147" s="9" t="inlineStr">
        <is>
          <t>estimating@hcmaven.com</t>
        </is>
      </c>
      <c r="J147" s="9" t="inlineStr">
        <is>
          <t>hcmaven.com</t>
        </is>
      </c>
      <c r="K147" s="10" t="n"/>
      <c r="L147" s="10" t="n"/>
      <c r="M147" s="10" t="n"/>
      <c r="N147" s="10" t="n"/>
      <c r="O147" s="9" t="inlineStr">
        <is>
          <t>OFFICIAL SITE 2026-09-04: phone (423) 541-1270, address 1500 E. 42nd Street 37407 and estimating@hcmaven.com ALL RE-CONFIRMED - so the 09-03 call to take the site's address over the Vibe record's 1302 East 36th Street holds. Hours Mon-Fri 8:30-17:00. Commercial concrete and civil construction for market-leading GCs across the southern US, plus a residential arm - crew trucks and mixers on the road daily. Their site has a Members and a Meet The Team page for a named contact.</t>
        </is>
      </c>
    </row>
    <row r="148">
      <c r="A148" s="7" t="inlineStr">
        <is>
          <t>A</t>
        </is>
      </c>
      <c r="B148" s="9" t="inlineStr">
        <is>
          <t>Confirmed on company site</t>
        </is>
      </c>
      <c r="C148" s="9" t="inlineStr">
        <is>
          <t>McCright &amp; Associates, LLC</t>
        </is>
      </c>
      <c r="D148" s="9" t="inlineStr">
        <is>
          <t>Housing Inspection &amp; Compliance Services</t>
        </is>
      </c>
      <c r="E148" s="9" t="inlineStr">
        <is>
          <t>(423) 267-1300</t>
        </is>
      </c>
      <c r="F148" s="9" t="inlineStr">
        <is>
          <t>Chattanooga</t>
        </is>
      </c>
      <c r="G148" s="9" t="inlineStr">
        <is>
          <t>6650 East Brainerd Road</t>
        </is>
      </c>
      <c r="H148" s="9" t="inlineStr">
        <is>
          <t>37421</t>
        </is>
      </c>
      <c r="I148" s="9" t="n"/>
      <c r="J148" s="9" t="inlineStr">
        <is>
          <t>mccright.com</t>
        </is>
      </c>
      <c r="K148" s="10" t="n"/>
      <c r="L148" s="10" t="n"/>
      <c r="M148" s="10" t="n"/>
      <c r="N148" s="10" t="n"/>
      <c r="O148" s="9" t="inlineStr">
        <is>
          <t>OFFICIAL SITE 2026-09-04: phone (423) 267-1300 RE-CONFIRMED, and 6650 E Brainerd Rd confirmed again as the DELIVERY address specifically - their mailing address is PO Box 6038, Chattanooga 37401, and fax is (423) 265-6222. The 09-03 decision to use this over the Vibe record's 928 McCallie Avenue holds. HQS and NSPIRE housing inspections for Housing Choice Voucher programmes - field inspectors driving between properties across several states in staff cars, which is steady windshield volume. No email; web form only.</t>
        </is>
      </c>
    </row>
    <row r="149">
      <c r="A149" s="7" t="inlineStr">
        <is>
          <t>A</t>
        </is>
      </c>
      <c r="B149" s="9" t="inlineStr">
        <is>
          <t>Confirmed on company site</t>
        </is>
      </c>
      <c r="C149" s="9" t="inlineStr">
        <is>
          <t>MCKINNLEY EXCAVATING LLC</t>
        </is>
      </c>
      <c r="D149" s="9" t="inlineStr">
        <is>
          <t>Excavation / Grading / Trenching</t>
        </is>
      </c>
      <c r="E149" s="9" t="inlineStr">
        <is>
          <t>(423) 314-5041</t>
        </is>
      </c>
      <c r="F149" s="9" t="inlineStr">
        <is>
          <t>Chattanooga</t>
        </is>
      </c>
      <c r="G149" s="9" t="n"/>
      <c r="H149" s="9" t="n"/>
      <c r="I149" s="9" t="n"/>
      <c r="J149" s="9" t="inlineStr">
        <is>
          <t>digchattanooga.com</t>
        </is>
      </c>
      <c r="K149" s="10" t="n"/>
      <c r="L149" s="10" t="n"/>
      <c r="M149" s="10" t="n"/>
      <c r="N149" s="10" t="n"/>
      <c r="O149" s="9" t="inlineStr">
        <is>
          <t>OFFICIAL SITE 2026-09-04: phone (423) 314-5041 RE-CONFIRMED on digchattanooga.com. Digging and trenching in dirt or concrete, driveway grading and dirt hauling, with GPS on their excavators and dozers for exact cuts - a small outfit that has invested in its machines, which usually means it looks after its trucks too. Low-boy trailers and dump trucks on rough ground. No street address published.</t>
        </is>
      </c>
    </row>
    <row r="150">
      <c r="A150" s="7" t="inlineStr">
        <is>
          <t>A</t>
        </is>
      </c>
      <c r="B150" s="9" t="inlineStr">
        <is>
          <t>Confirmed on company site</t>
        </is>
      </c>
      <c r="C150" s="9" t="inlineStr">
        <is>
          <t>MCS Facility Services</t>
        </is>
      </c>
      <c r="D150" s="9" t="inlineStr">
        <is>
          <t>Commercial Janitorial / Facility Cleaning</t>
        </is>
      </c>
      <c r="E150" s="9" t="inlineStr">
        <is>
          <t>(423) 872-2345</t>
        </is>
      </c>
      <c r="F150" s="9" t="inlineStr">
        <is>
          <t>Chattanooga</t>
        </is>
      </c>
      <c r="G150" s="9" t="inlineStr">
        <is>
          <t>1100 Market Street, Suite 600</t>
        </is>
      </c>
      <c r="H150" s="9" t="inlineStr">
        <is>
          <t>37402</t>
        </is>
      </c>
      <c r="I150" s="9" t="n"/>
      <c r="J150" s="9" t="inlineStr">
        <is>
          <t>mcschatt.com</t>
        </is>
      </c>
      <c r="K150" s="10" t="n"/>
      <c r="L150" s="10" t="n"/>
      <c r="M150" s="10" t="n"/>
      <c r="N150" s="10" t="n"/>
      <c r="O150" s="9" t="inlineStr">
        <is>
          <t>OFFICIAL SITE 2026-09-04: phone (423) 872-2345 RE-CONFIRMED as the MAIN OFFICE line, address 1100 Market Street Suite 600, 37402 confirmed. Worth reading carefully - a first search of their site returned 423-619-1973 instead, which would have been a wrong overwrite: a second search shows that is their RESIDENTIAL move-in/move-out line. The three lines from the earlier note are now itemised: main office 423-872-2345, quotes 423-401-3000, residential 423-619-1973. Office Mon-Fri 8:00-18:00, Sat 8:00-17:00, with 24/7 support. 20+ years across commercial, medical and industrial buildings plus construction cleaning and pressure washing - crews driving between buildings nightly.</t>
        </is>
      </c>
    </row>
    <row r="151">
      <c r="A151" s="7" t="inlineStr">
        <is>
          <t>A</t>
        </is>
      </c>
      <c r="B151" s="9" t="inlineStr">
        <is>
          <t>Confirmed on company site</t>
        </is>
      </c>
      <c r="C151" s="9" t="inlineStr">
        <is>
          <t>Mercedes-Benz at Long of Chattanooga</t>
        </is>
      </c>
      <c r="D151" s="9" t="inlineStr">
        <is>
          <t>Auto Dealership</t>
        </is>
      </c>
      <c r="E151" s="9" t="inlineStr">
        <is>
          <t>(423) 855-3726</t>
        </is>
      </c>
      <c r="F151" s="9" t="inlineStr">
        <is>
          <t>Chattanooga</t>
        </is>
      </c>
      <c r="G151" s="9" t="inlineStr">
        <is>
          <t>6039 International Drive</t>
        </is>
      </c>
      <c r="H151" s="9" t="inlineStr">
        <is>
          <t>37421</t>
        </is>
      </c>
      <c r="I151" s="9" t="n"/>
      <c r="J151" s="9" t="inlineStr">
        <is>
          <t>mercedesbenzatlong.com</t>
        </is>
      </c>
      <c r="K151" s="10" t="n"/>
      <c r="L151" s="10" t="n"/>
      <c r="M151" s="10" t="n"/>
      <c r="N151" s="10" t="n"/>
      <c r="O151" s="9" t="inlineStr">
        <is>
          <t>Phone re-checked 2026-09-04 against their own site - unchanged and correct; (423) 855-3726 is their general line. Note the neighbouring Long Hyundai row had this same number by mistake and has been corrected. Service is 423-855-5664, shared with Long Hyundai.</t>
        </is>
      </c>
    </row>
    <row r="152">
      <c r="A152" s="7" t="inlineStr">
        <is>
          <t>A</t>
        </is>
      </c>
      <c r="B152" s="9" t="inlineStr">
        <is>
          <t>Confirmed on company site</t>
        </is>
      </c>
      <c r="C152" s="9" t="inlineStr">
        <is>
          <t>MID-SOUTH EQUIPMENT</t>
        </is>
      </c>
      <c r="D152" s="9" t="inlineStr">
        <is>
          <t>Construction Equipment Sales, Service &amp; Rental</t>
        </is>
      </c>
      <c r="E152" s="9" t="inlineStr">
        <is>
          <t>(423) 460-7011</t>
        </is>
      </c>
      <c r="F152" s="9" t="inlineStr">
        <is>
          <t>Chattanooga</t>
        </is>
      </c>
      <c r="G152" s="9" t="inlineStr">
        <is>
          <t>1609 Church Rd</t>
        </is>
      </c>
      <c r="H152" s="9" t="inlineStr">
        <is>
          <t>37421</t>
        </is>
      </c>
      <c r="I152" s="9" t="n"/>
      <c r="J152" s="9" t="inlineStr">
        <is>
          <t>midsouthequipment.com</t>
        </is>
      </c>
      <c r="K152" s="10" t="n"/>
      <c r="L152" s="10" t="n"/>
      <c r="M152" s="10" t="n"/>
      <c r="N152" s="10" t="n"/>
      <c r="O152" s="9" t="inlineStr">
        <is>
          <t>OFFICIAL SITE 2026-09-04: phone (423) 460-7011 RE-CONFIRMED, and the ADDRESS IS NOW SOURCED - midsouthequipment.com publishes 1609 Church Rd, Chattanooga 37421, which the 09-03 pass deliberately left out as unverified. Added on their own authority. Serving the Tennessee Valley since 1993: construction equipment sales, service, rentals and parts, with JCB among the lines they carry. Delivery trucks and field service trucks, whatever the headcount on the record says. No email published.</t>
        </is>
      </c>
    </row>
    <row r="153">
      <c r="A153" s="7" t="inlineStr">
        <is>
          <t>A</t>
        </is>
      </c>
      <c r="B153" s="9" t="inlineStr">
        <is>
          <t>Confirmed on company site</t>
        </is>
      </c>
      <c r="C153" s="9" t="inlineStr">
        <is>
          <t>Milco National Constructors</t>
        </is>
      </c>
      <c r="D153" s="9" t="inlineStr">
        <is>
          <t>Industrial Tank &amp; Vessel Construction</t>
        </is>
      </c>
      <c r="E153" s="9" t="inlineStr">
        <is>
          <t>(803) 291-8805</t>
        </is>
      </c>
      <c r="F153" s="9" t="inlineStr">
        <is>
          <t>Collegedale</t>
        </is>
      </c>
      <c r="G153" s="9" t="inlineStr">
        <is>
          <t>9384 Jac Cate Road</t>
        </is>
      </c>
      <c r="H153" s="9" t="inlineStr">
        <is>
          <t>37363</t>
        </is>
      </c>
      <c r="I153" s="9" t="n"/>
      <c r="J153" s="9" t="inlineStr">
        <is>
          <t>milconational.com</t>
        </is>
      </c>
      <c r="K153" s="10" t="n"/>
      <c r="L153" s="10" t="n"/>
      <c r="M153" s="10" t="n"/>
      <c r="N153" s="10" t="n"/>
      <c r="O153" s="9" t="inlineStr">
        <is>
          <t>OFFICIAL SITE 2026-09-04: phone (803) 291-8805 and address 9384 Jac Cate Rd, Collegedale 37363 RE-CONFIRMED - so the 803 South Carolina area code really is what they publish against the Collegedale yard. The earlier steer stands: ring it but ASK FOR THE COLLEGEDALE YARD, since it may route out of state. PARENT COMPANY FOUND: their site carries a 'Meet DBM Global' page, so Milco is part of DBM Global - the vehicle decision may sit above the yard. Field-erected tanks, vessels and stack erection; their project list names a TENNESSEE VALLEY AUTHORITY tank project and PSE&amp;G air-cooled condenser work, so crews and welding rigs travel out of state. No email published.</t>
        </is>
      </c>
    </row>
    <row r="154">
      <c r="A154" s="7" t="inlineStr">
        <is>
          <t>A</t>
        </is>
      </c>
      <c r="B154" s="9" t="inlineStr">
        <is>
          <t>Confirmed on company site</t>
        </is>
      </c>
      <c r="C154" s="9" t="inlineStr">
        <is>
          <t>Mostellers Wrecker Inc.</t>
        </is>
      </c>
      <c r="D154" s="9" t="inlineStr">
        <is>
          <t>Towing</t>
        </is>
      </c>
      <c r="E154" s="9" t="inlineStr">
        <is>
          <t>(423) 622-5313</t>
        </is>
      </c>
      <c r="F154" s="9" t="inlineStr">
        <is>
          <t>Chattanooga</t>
        </is>
      </c>
      <c r="G154" s="9" t="inlineStr">
        <is>
          <t>2105 E 24th St Pl</t>
        </is>
      </c>
      <c r="H154" s="9" t="inlineStr">
        <is>
          <t>37407</t>
        </is>
      </c>
      <c r="I154" s="9" t="inlineStr">
        <is>
          <t>janie@mostellersinc.com</t>
        </is>
      </c>
      <c r="J154" s="9" t="n"/>
      <c r="K154" s="10" t="n"/>
      <c r="L154" s="10" t="n"/>
      <c r="M154" s="10" t="n"/>
      <c r="N154" s="10" t="n"/>
      <c r="O154" s="9" t="inlineStr">
        <is>
          <t>WEBSITE CORRECTED 2026-09-04: the nationaltow.net address previously on file has NOTHING indexed and does not belong to this business - removed. No official site found. KEPT under the Google-search rule: business is findable and the phone (423) 622-5313 recurs consistently, and they are federally registered and active as MOSTELLERS WRECKER INC, USDOT 2461226, in the FMCSA SAFER carrier registry. Email janie@mostellersinc.com appears alongside the listing - note the mostellersinc.com domain, which may be their real site. 2105 E 24th St Pl. Verify the number by phone before a mailing.</t>
        </is>
      </c>
    </row>
    <row r="155">
      <c r="A155" s="7" t="inlineStr">
        <is>
          <t>A</t>
        </is>
      </c>
      <c r="B155" s="9" t="inlineStr">
        <is>
          <t>Confirmed on company site</t>
        </is>
      </c>
      <c r="C155" s="9" t="inlineStr">
        <is>
          <t>Mpl Construction Company</t>
        </is>
      </c>
      <c r="D155" s="9" t="inlineStr">
        <is>
          <t>Commercial General Contractor</t>
        </is>
      </c>
      <c r="E155" s="9" t="inlineStr">
        <is>
          <t>(423) 899-7737</t>
        </is>
      </c>
      <c r="F155" s="9" t="inlineStr">
        <is>
          <t>Chattanooga</t>
        </is>
      </c>
      <c r="G155" s="9" t="inlineStr">
        <is>
          <t>115 Cedar Lane</t>
        </is>
      </c>
      <c r="H155" s="9" t="inlineStr">
        <is>
          <t>37421</t>
        </is>
      </c>
      <c r="I155" s="9" t="n"/>
      <c r="J155" s="9" t="inlineStr">
        <is>
          <t>mplconstruction.com</t>
        </is>
      </c>
      <c r="K155" s="10" t="n"/>
      <c r="L155" s="10" t="n"/>
      <c r="M155" s="10" t="n"/>
      <c r="N155" s="10" t="n"/>
      <c r="O155" s="9" t="inlineStr">
        <is>
          <t>OFFICIAL SITE 2026-09-04: phone (423) 899-7737 and address 115 Cedar Ln 37421 RE-CONFIRMED, hours Mon-Fri 8:00-17:00. THE WARM-INTRODUCTION POINT IS CONFIRMED ON THEIR OWN SITE: their project list carries a Nichols Fleet Equipment build, and Nichols is already on your list - the connection works in either direction. They also built for Servpro on Jetrail Dr and Woodbridge Chattanooga. Commercial construction and architecture across office, manufacturing, warehouse, education and retail. No email published.</t>
        </is>
      </c>
    </row>
    <row r="156">
      <c r="A156" s="7" t="inlineStr">
        <is>
          <t>A</t>
        </is>
      </c>
      <c r="B156" s="9" t="inlineStr">
        <is>
          <t>Confirmed on company site</t>
        </is>
      </c>
      <c r="C156" s="9" t="inlineStr">
        <is>
          <t>Mtn View Ford Lincoln</t>
        </is>
      </c>
      <c r="D156" s="9" t="inlineStr">
        <is>
          <t>Auto Dealership</t>
        </is>
      </c>
      <c r="E156" s="9" t="inlineStr">
        <is>
          <t>(423) 756-1331</t>
        </is>
      </c>
      <c r="F156" s="9" t="inlineStr">
        <is>
          <t>Chattanooga</t>
        </is>
      </c>
      <c r="G156" s="9" t="inlineStr">
        <is>
          <t>301 East 20th Street</t>
        </is>
      </c>
      <c r="H156" s="9" t="inlineStr">
        <is>
          <t>37408</t>
        </is>
      </c>
      <c r="I156" s="9" t="n"/>
      <c r="J156" s="9" t="inlineStr">
        <is>
          <t>mtnviewford.com</t>
        </is>
      </c>
      <c r="K156" s="10" t="n"/>
      <c r="L156" s="10" t="n"/>
      <c r="M156" s="10" t="n"/>
      <c r="N156" s="10" t="n"/>
      <c r="O156" s="9" t="inlineStr">
        <is>
          <t>Phone re-checked 2026-09-04 against their own site - unchanged and correct. One number for sales and service; ask for the service department.</t>
        </is>
      </c>
    </row>
    <row r="157">
      <c r="A157" s="7" t="inlineStr">
        <is>
          <t>A</t>
        </is>
      </c>
      <c r="B157" s="9" t="inlineStr">
        <is>
          <t>Confirmed on company site</t>
        </is>
      </c>
      <c r="C157" s="9" t="inlineStr">
        <is>
          <t>Mtn View Nissan of Chattanooga</t>
        </is>
      </c>
      <c r="D157" s="9" t="inlineStr">
        <is>
          <t>Auto Dealership</t>
        </is>
      </c>
      <c r="E157" s="9" t="inlineStr">
        <is>
          <t>(423) 756-1500</t>
        </is>
      </c>
      <c r="F157" s="9" t="inlineStr">
        <is>
          <t>Chattanooga</t>
        </is>
      </c>
      <c r="G157" s="9" t="inlineStr">
        <is>
          <t>2100 South Market Street</t>
        </is>
      </c>
      <c r="H157" s="9" t="inlineStr">
        <is>
          <t>37408</t>
        </is>
      </c>
      <c r="I157" s="9" t="n"/>
      <c r="J157" s="9" t="inlineStr">
        <is>
          <t>mtnviewnissan.com</t>
        </is>
      </c>
      <c r="K157" s="10" t="n"/>
      <c r="L157" s="10" t="n"/>
      <c r="M157" s="10" t="n"/>
      <c r="N157" s="10" t="n"/>
      <c r="O157" s="9" t="inlineStr">
        <is>
          <t>Phone re-checked 2026-09-04 against their own site - unchanged and correct. Same number reaches sales, service and parts.</t>
        </is>
      </c>
    </row>
    <row r="158">
      <c r="A158" s="7" t="inlineStr">
        <is>
          <t>A</t>
        </is>
      </c>
      <c r="B158" s="9" t="inlineStr">
        <is>
          <t>Confirmed on company site</t>
        </is>
      </c>
      <c r="C158" s="9" t="inlineStr">
        <is>
          <t>NABCO Electric Company, Inc.</t>
        </is>
      </c>
      <c r="D158" s="9" t="inlineStr">
        <is>
          <t>Electrical Contractor</t>
        </is>
      </c>
      <c r="E158" s="9" t="inlineStr">
        <is>
          <t>(423) 624-0073</t>
        </is>
      </c>
      <c r="F158" s="9" t="inlineStr">
        <is>
          <t>Chattanooga</t>
        </is>
      </c>
      <c r="G158" s="9" t="inlineStr">
        <is>
          <t>2800 2nd Avenue</t>
        </is>
      </c>
      <c r="H158" s="9" t="inlineStr">
        <is>
          <t>37407</t>
        </is>
      </c>
      <c r="I158" s="9" t="inlineStr">
        <is>
          <t>info@nabcoelectric.com</t>
        </is>
      </c>
      <c r="J158" s="9" t="inlineStr">
        <is>
          <t>nabcoelectric.com</t>
        </is>
      </c>
      <c r="K158" s="10" t="n"/>
      <c r="L158" s="10" t="n"/>
      <c r="M158" s="10" t="n"/>
      <c r="N158" s="10" t="n"/>
      <c r="O158" s="9" t="inlineStr">
        <is>
          <t>OFFICIAL SITE 2026-09-04: phone (423) 624-0073 and address 2800 2nd Ave 37407 RE-CONFIRMED (it took two searches - the first surfaced nothing), along with info@nabcoelectric.com. TWO THINGS THE EARLIER NOTE MISSED: a 24-HOUR line, 423-622-8463, and a SECOND BRANCH at 2051 South Lee Highway, Cleveland TN 37311 on that same 622-8463 number, fax 423-624-8585. A 24-hour callout line plus two branches is a bigger service-truck fleet than the row implied. Commercial, industrial, institutional and highway electrical work; founded 1962.</t>
        </is>
      </c>
    </row>
    <row r="159">
      <c r="A159" s="7" t="inlineStr">
        <is>
          <t>A</t>
        </is>
      </c>
      <c r="B159" s="9" t="inlineStr">
        <is>
          <t>Confirmed on company site</t>
        </is>
      </c>
      <c r="C159" s="9" t="inlineStr">
        <is>
          <t>NEW BLUE CONSTRUCTION, INC.</t>
        </is>
      </c>
      <c r="D159" s="9" t="inlineStr">
        <is>
          <t>General Contractor</t>
        </is>
      </c>
      <c r="E159" s="9" t="inlineStr">
        <is>
          <t>(423) 490-7073</t>
        </is>
      </c>
      <c r="F159" s="9" t="inlineStr">
        <is>
          <t>Chattanooga</t>
        </is>
      </c>
      <c r="G159" s="9" t="inlineStr">
        <is>
          <t>1134 East 14th Street</t>
        </is>
      </c>
      <c r="H159" s="9" t="inlineStr">
        <is>
          <t>37408</t>
        </is>
      </c>
      <c r="I159" s="9" t="inlineStr">
        <is>
          <t>employment@newblueconstruction.com</t>
        </is>
      </c>
      <c r="J159" s="9" t="inlineStr">
        <is>
          <t>newblueconstruction.com</t>
        </is>
      </c>
      <c r="K159" s="10" t="n"/>
      <c r="L159" s="10" t="n"/>
      <c r="M159" s="10" t="n"/>
      <c r="N159" s="10" t="n"/>
      <c r="O159" s="9" t="inlineStr">
        <is>
          <t>OFFICIAL SITE 2026-09-04: phone (423) 490-7073 and address 1134 E 14th Street 37408 RE-CONFIRMED - so the 09-03 call to use their site over the record's 1600 East Main Street holds. Commercial, custom home and renovation work. THE STAFF ROSTER IS REAL AND HAS GROWN: Jonathan Lehman, Robbie Bivin and Stuart Gaines all still have team pages, and Aaron Cyphers and Jeff Spencer do too, with a distinct Business Operations Team category - that is where a vehicle decision would sit. The only published email is still the employment one, so use the phone.</t>
        </is>
      </c>
    </row>
    <row r="160">
      <c r="A160" s="7" t="inlineStr">
        <is>
          <t>A</t>
        </is>
      </c>
      <c r="B160" s="9" t="inlineStr">
        <is>
          <t>Confirmed on company site</t>
        </is>
      </c>
      <c r="C160" s="9" t="inlineStr">
        <is>
          <t>Nichols Fleet Equipment Inc.</t>
        </is>
      </c>
      <c r="D160" s="9" t="inlineStr">
        <is>
          <t>Automotive Fleet Service Company</t>
        </is>
      </c>
      <c r="E160" s="9" t="inlineStr">
        <is>
          <t>(423) 622-7528</t>
        </is>
      </c>
      <c r="F160" s="9" t="inlineStr">
        <is>
          <t>Chattanooga</t>
        </is>
      </c>
      <c r="G160" s="9" t="inlineStr">
        <is>
          <t>2805 Riverport Rd</t>
        </is>
      </c>
      <c r="H160" s="9" t="inlineStr">
        <is>
          <t>37406</t>
        </is>
      </c>
      <c r="I160" s="9" t="inlineStr">
        <is>
          <t>info@nicholsfleet.com</t>
        </is>
      </c>
      <c r="J160" s="9" t="inlineStr">
        <is>
          <t>nicholsfleet.com</t>
        </is>
      </c>
      <c r="K160" s="10" t="n"/>
      <c r="L160" s="10" t="n"/>
      <c r="M160" s="10" t="n"/>
      <c r="N160" s="10" t="n"/>
      <c r="O160" s="9" t="inlineStr">
        <is>
          <t>OFFICIAL SITE: phone (423) 622-7528 and 2805 Riverport Rd RE-CONFIRMED 2026-09-04, and EMAIL FOUND (info@nicholsfleet.com). They run their own Service + Parts department - that department, not sales, is the one that buys glass.</t>
        </is>
      </c>
    </row>
    <row r="161">
      <c r="A161" s="7" t="inlineStr">
        <is>
          <t>A</t>
        </is>
      </c>
      <c r="B161" s="9" t="inlineStr">
        <is>
          <t>Confirmed on company site</t>
        </is>
      </c>
      <c r="C161" s="9" t="inlineStr">
        <is>
          <t>North Shore Auto Collision</t>
        </is>
      </c>
      <c r="D161" s="9" t="inlineStr">
        <is>
          <t>Collision Repair / Body Shop</t>
        </is>
      </c>
      <c r="E161" s="9" t="inlineStr">
        <is>
          <t>(423) 521-3368</t>
        </is>
      </c>
      <c r="F161" s="9" t="inlineStr">
        <is>
          <t>Chattanooga</t>
        </is>
      </c>
      <c r="G161" s="9" t="inlineStr">
        <is>
          <t>4719 Dayton Blvd</t>
        </is>
      </c>
      <c r="H161" s="9" t="inlineStr">
        <is>
          <t>37415</t>
        </is>
      </c>
      <c r="I161" s="9" t="inlineStr">
        <is>
          <t>ken@northshoreautocollision.com</t>
        </is>
      </c>
      <c r="J161" s="9" t="inlineStr">
        <is>
          <t>northshoreautocollision.com</t>
        </is>
      </c>
      <c r="K161" s="10" t="n"/>
      <c r="L161" s="10" t="n"/>
      <c r="M161" s="10" t="n"/>
      <c r="N161" s="10" t="n"/>
      <c r="O161" s="9" t="inlineStr">
        <is>
          <t>Phone re-checked 2026-09-04: their own site publishes no number, so the (423) 521-3368 in this row could not be confirmed or refuted - use it but expect to verify. Three named emails now available: Ken, Kim and Bodine. An independent body shop is a better prospect than the Classic Collision chain, which does its own glass.</t>
        </is>
      </c>
    </row>
    <row r="162">
      <c r="A162" s="7" t="inlineStr">
        <is>
          <t>A</t>
        </is>
      </c>
      <c r="B162" s="9" t="inlineStr">
        <is>
          <t>Confirmed on company site</t>
        </is>
      </c>
      <c r="C162" s="9" t="inlineStr">
        <is>
          <t>Northwest Exterminating</t>
        </is>
      </c>
      <c r="D162" s="9" t="inlineStr">
        <is>
          <t>Pest Control</t>
        </is>
      </c>
      <c r="E162" s="9" t="inlineStr">
        <is>
          <t>(423) 822-5760</t>
        </is>
      </c>
      <c r="F162" s="9" t="inlineStr">
        <is>
          <t>Ooltewah</t>
        </is>
      </c>
      <c r="G162" s="9" t="inlineStr">
        <is>
          <t>8822 Production Ln, Ste 104</t>
        </is>
      </c>
      <c r="H162" s="9" t="inlineStr">
        <is>
          <t>37363</t>
        </is>
      </c>
      <c r="I162" s="9" t="n"/>
      <c r="J162" s="9" t="inlineStr">
        <is>
          <t>callnorthwest.com</t>
        </is>
      </c>
      <c r="K162" s="10" t="n"/>
      <c r="L162" s="10" t="n"/>
      <c r="M162" s="10" t="n"/>
      <c r="N162" s="10" t="n"/>
      <c r="O162" s="9" t="inlineStr">
        <is>
          <t>OFFICIAL SITE 2026-09-04: phone (423) 822-5760 RE-CONFIRMED on callnorthwest.com's own Ooltewah location page. CAUTION STANDS: they still publish no street address for this branch, so the 8822 Production Ln Ste 104 on file remains unverified. Regional green pest, termite and wildlife operator since 1951 across GA, AL and TN, with separate Ooltewah and Chattanooga service pages and a builder-services division - a branded route-truck fleet.</t>
        </is>
      </c>
    </row>
    <row r="163">
      <c r="A163" s="7" t="inlineStr">
        <is>
          <t>A</t>
        </is>
      </c>
      <c r="B163" s="9" t="inlineStr">
        <is>
          <t>Confirmed on company site</t>
        </is>
      </c>
      <c r="C163" s="9" t="inlineStr">
        <is>
          <t>Overhead Door Company of Chattanooga</t>
        </is>
      </c>
      <c r="D163" s="9" t="inlineStr">
        <is>
          <t>Garage Door</t>
        </is>
      </c>
      <c r="E163" s="9" t="inlineStr">
        <is>
          <t>(423) 867-4354</t>
        </is>
      </c>
      <c r="F163" s="9" t="inlineStr">
        <is>
          <t>Chattanooga</t>
        </is>
      </c>
      <c r="G163" s="9" t="inlineStr">
        <is>
          <t>3500 Alton Park Blvd</t>
        </is>
      </c>
      <c r="H163" s="9" t="inlineStr">
        <is>
          <t>37410</t>
        </is>
      </c>
      <c r="I163" s="9" t="n"/>
      <c r="J163" s="9" t="inlineStr">
        <is>
          <t>overheaddoorchattanooga.com</t>
        </is>
      </c>
      <c r="K163" s="10" t="n"/>
      <c r="L163" s="10" t="n"/>
      <c r="M163" s="10" t="n"/>
      <c r="N163" s="10" t="n"/>
      <c r="O163" s="9" t="inlineStr">
        <is>
          <t>OFFICIAL SITE 2026-09-04: phone (423) 867-4354 RE-CONFIRMED, address 3500 Alton Park Blvd 37410 confirmed, hours Mon-Fri 8:00-16:30. Note the 24-hour commercial service line they publish is (865) 573-1950, a KNOXVILLE number - the after-hours desk is not local, so use the 423 line in business hours. They service any brand of door and opener, residential and commercial, and their site has a management and support staff page worth mining for a named contact.</t>
        </is>
      </c>
    </row>
    <row r="164">
      <c r="A164" s="7" t="inlineStr">
        <is>
          <t>A</t>
        </is>
      </c>
      <c r="B164" s="9" t="inlineStr">
        <is>
          <t>Confirmed on company site</t>
        </is>
      </c>
      <c r="C164" s="9" t="inlineStr">
        <is>
          <t>P&amp;C Construction, INC.</t>
        </is>
      </c>
      <c r="D164" s="9" t="inlineStr">
        <is>
          <t>Commercial General Contractor</t>
        </is>
      </c>
      <c r="E164" s="9" t="inlineStr">
        <is>
          <t>(423) 493-0051</t>
        </is>
      </c>
      <c r="F164" s="9" t="inlineStr">
        <is>
          <t>Chattanooga</t>
        </is>
      </c>
      <c r="G164" s="9" t="inlineStr">
        <is>
          <t>1037 West Main Street</t>
        </is>
      </c>
      <c r="H164" s="9" t="inlineStr">
        <is>
          <t>37402</t>
        </is>
      </c>
      <c r="I164" s="9" t="inlineStr">
        <is>
          <t>info@pc-const.com</t>
        </is>
      </c>
      <c r="J164" s="9" t="inlineStr">
        <is>
          <t>pc-const.com</t>
        </is>
      </c>
      <c r="K164" s="10" t="n"/>
      <c r="L164" s="10" t="n"/>
      <c r="M164" s="10" t="n"/>
      <c r="N164" s="10" t="n"/>
      <c r="O164" s="9" t="inlineStr">
        <is>
          <t>OFFICIAL SITE 2026-09-04: phone (423) 493-0051, address 1037 W Main St 37402 and info@pc-const.com ALL RE-CONFIRMED, plus a SECOND LINE, (423) 493-0058. Their client list is worth reading before you call - PlayCore, Fastenal, Patten Group, Brooks and Moore, Rosecomb - all commercial work with superintendent and crew trucks on Chattanooga sites. Meet the Team page is public. Still one of the few in this queue publishing working email addresses; info@ or bidding@ will reach a person.</t>
        </is>
      </c>
    </row>
    <row r="165">
      <c r="A165" s="7" t="inlineStr">
        <is>
          <t>A</t>
        </is>
      </c>
      <c r="B165" s="9" t="inlineStr">
        <is>
          <t>Confirmed on company site</t>
        </is>
      </c>
      <c r="C165" s="9" t="inlineStr">
        <is>
          <t>Papa Services</t>
        </is>
      </c>
      <c r="D165" s="9" t="inlineStr">
        <is>
          <t>Hauling &amp; Junk Removal</t>
        </is>
      </c>
      <c r="E165" s="9" t="inlineStr">
        <is>
          <t>(423) 629-0700</t>
        </is>
      </c>
      <c r="F165" s="9" t="inlineStr">
        <is>
          <t>Chattanooga</t>
        </is>
      </c>
      <c r="G165" s="9" t="inlineStr">
        <is>
          <t>1311 Bennett Avenue</t>
        </is>
      </c>
      <c r="H165" s="9" t="inlineStr">
        <is>
          <t>37404</t>
        </is>
      </c>
      <c r="I165" s="9" t="n"/>
      <c r="J165" s="9" t="inlineStr">
        <is>
          <t>papaservices.com</t>
        </is>
      </c>
      <c r="K165" s="10" t="n"/>
      <c r="L165" s="10" t="n"/>
      <c r="M165" s="10" t="n"/>
      <c r="N165" s="10" t="n"/>
      <c r="O165" s="9" t="inlineStr">
        <is>
          <t>OFFICIAL SITE 2026-09-04: phone (423) 629-0700 and address 1311 Bennett Avenue 37404 RE-CONFIRMED - their site backs the record. OPEN EVERY DAY on their own account, which for a hauling outfit means trucks out seven days: full-service junk removal plus lawn maintenance and landscaping, so haul trucks and mowing trailers both. Rock chips guaranteed. No email published.</t>
        </is>
      </c>
    </row>
    <row r="166">
      <c r="A166" s="7" t="inlineStr">
        <is>
          <t>A</t>
        </is>
      </c>
      <c r="B166" s="9" t="inlineStr">
        <is>
          <t>Confirmed on company site</t>
        </is>
      </c>
      <c r="C166" s="9" t="inlineStr">
        <is>
          <t>Paul Davis Restoration of Chattanooga</t>
        </is>
      </c>
      <c r="D166" s="9" t="inlineStr">
        <is>
          <t>Property Damage Restoration</t>
        </is>
      </c>
      <c r="E166" s="9" t="inlineStr">
        <is>
          <t>(423) 899-2406</t>
        </is>
      </c>
      <c r="F166" s="9" t="inlineStr">
        <is>
          <t>Chattanooga</t>
        </is>
      </c>
      <c r="G166" s="9" t="inlineStr">
        <is>
          <t>1916 Circle Drive</t>
        </is>
      </c>
      <c r="H166" s="9" t="inlineStr">
        <is>
          <t>37421</t>
        </is>
      </c>
      <c r="I166" s="9" t="inlineStr">
        <is>
          <t>pdrchat@gmail.com</t>
        </is>
      </c>
      <c r="J166" s="9" t="inlineStr">
        <is>
          <t>greater-chattanooga.pauldavis.com</t>
        </is>
      </c>
      <c r="K166" s="10" t="n"/>
      <c r="L166" s="10" t="n"/>
      <c r="M166" s="10" t="n"/>
      <c r="N166" s="10" t="n"/>
      <c r="O166" s="9" t="inlineStr">
        <is>
          <t>OFFICIAL SITE 2026-09-04: phone (423) 899-2406 and address 1916 Circle Dr 37421 RE-CONFIRMED on their own franchise site. 24/7 emergency response with a THIRTY-MINUTE response window, across residential, commercial and industrial flood, fire and contents restoration - vehicles moving fast at all hours, which is exactly when glass gets broken. pdrchat@gmail.com holds; a direct email is unusual for a franchise. DUPLICATE: row 86, 'Paul Davis Restoration of Greater Chattanooga', is this same business - identical phone, address, email and website. Merge the two rows and call once.</t>
        </is>
      </c>
    </row>
    <row r="167">
      <c r="A167" s="7" t="inlineStr">
        <is>
          <t>A</t>
        </is>
      </c>
      <c r="B167" s="9" t="inlineStr">
        <is>
          <t>Confirmed on company site</t>
        </is>
      </c>
      <c r="C167" s="9" t="inlineStr">
        <is>
          <t>Penske Truck Rental</t>
        </is>
      </c>
      <c r="D167" s="9" t="inlineStr">
        <is>
          <t>Truck Rental</t>
        </is>
      </c>
      <c r="E167" s="9" t="inlineStr">
        <is>
          <t>(423) 622-2871</t>
        </is>
      </c>
      <c r="F167" s="9" t="inlineStr">
        <is>
          <t>Chattanooga</t>
        </is>
      </c>
      <c r="G167" s="9" t="inlineStr">
        <is>
          <t>4139 S Creek Rd</t>
        </is>
      </c>
      <c r="H167" s="9" t="inlineStr">
        <is>
          <t>37406</t>
        </is>
      </c>
      <c r="I167" s="9" t="n"/>
      <c r="J167" s="9" t="inlineStr">
        <is>
          <t>pensketruckrental.com</t>
        </is>
      </c>
      <c r="K167" s="10" t="n"/>
      <c r="L167" s="10" t="n"/>
      <c r="M167" s="10" t="n"/>
      <c r="N167" s="10" t="n"/>
      <c r="O167" s="9" t="inlineStr">
        <is>
          <t>OFFICIAL SITE: phone (423) 622-2871 and 4139 S Creek Rd RE-CONFIRMED 2026-09-04 (location 007410). Open Mon-Fri 7:00-17:00, Sat 8:00-12:00. Penske also has two more Chattanooga points - 37421 Hickory Valley Rd (007470) and the Home Depot #742 dealer point (007487) - but those route to national numbers 1-844-906-3404 (commercial) / 1-844-824-6609 (one-way). S Creek Rd is the real local yard and the one to call.</t>
        </is>
      </c>
    </row>
    <row r="168">
      <c r="A168" s="7" t="inlineStr">
        <is>
          <t>A</t>
        </is>
      </c>
      <c r="B168" s="9" t="inlineStr">
        <is>
          <t>Confirmed on company site</t>
        </is>
      </c>
      <c r="C168" s="9" t="inlineStr">
        <is>
          <t>Phaltless Inc</t>
        </is>
      </c>
      <c r="D168" s="9" t="inlineStr">
        <is>
          <t>Asphalt Paving Contractor</t>
        </is>
      </c>
      <c r="E168" s="9" t="inlineStr">
        <is>
          <t>(423) 622-1037</t>
        </is>
      </c>
      <c r="F168" s="9" t="inlineStr">
        <is>
          <t>Chattanooga</t>
        </is>
      </c>
      <c r="G168" s="9" t="inlineStr">
        <is>
          <t>2611 Riverside Drive</t>
        </is>
      </c>
      <c r="H168" s="9" t="inlineStr">
        <is>
          <t>37406</t>
        </is>
      </c>
      <c r="I168" s="9" t="inlineStr">
        <is>
          <t>rusty@phaltless.com</t>
        </is>
      </c>
      <c r="J168" s="9" t="inlineStr">
        <is>
          <t>phaltless.com</t>
        </is>
      </c>
      <c r="K168" s="10" t="n"/>
      <c r="L168" s="10" t="n"/>
      <c r="M168" s="10" t="n"/>
      <c r="N168" s="10" t="n"/>
      <c r="O168" s="9" t="inlineStr">
        <is>
          <t>OFFICIAL SITE 2026-09-04: phone (423) 622-1037, address 2611 Riverside Drive 37406 and rusty@phaltless.com ALL RE-CONFIRMED on their own contact page. Asphalt paving - dump trucks, rollers, tack trucks and crew pickups working gravel lots all day, which is among the best fleet profiles on this list. Rusty answers a real address, not a form.</t>
        </is>
      </c>
    </row>
    <row r="169">
      <c r="A169" s="7" t="inlineStr">
        <is>
          <t>A</t>
        </is>
      </c>
      <c r="B169" s="9" t="inlineStr">
        <is>
          <t>Confirmed on company site</t>
        </is>
      </c>
      <c r="C169" s="9" t="inlineStr">
        <is>
          <t>Pillar Construction</t>
        </is>
      </c>
      <c r="D169" s="9" t="inlineStr">
        <is>
          <t>General Contractor</t>
        </is>
      </c>
      <c r="E169" s="9" t="inlineStr">
        <is>
          <t>(423) 718-5394</t>
        </is>
      </c>
      <c r="F169" s="9" t="inlineStr">
        <is>
          <t>Chattanooga</t>
        </is>
      </c>
      <c r="G169" s="9" t="inlineStr">
        <is>
          <t>3800 St Elmo Avenue Suite 204</t>
        </is>
      </c>
      <c r="H169" s="9" t="inlineStr">
        <is>
          <t>37409</t>
        </is>
      </c>
      <c r="I169" s="9" t="inlineStr">
        <is>
          <t>wgaither@pillarco.com</t>
        </is>
      </c>
      <c r="J169" s="9" t="inlineStr">
        <is>
          <t>pillarco.com</t>
        </is>
      </c>
      <c r="K169" s="10" t="n"/>
      <c r="L169" s="10" t="n"/>
      <c r="M169" s="10" t="n"/>
      <c r="N169" s="10" t="n"/>
      <c r="O169" s="9" t="inlineStr">
        <is>
          <t>OFFICIAL SITE 2026-09-04: phone (423) 718-5394, address 3800 St Elmo Ave SUITE 204, 37409 and wgaither@pillarco.com ALL RE-CONFIRMED - the site's Suite 204 beats the record's 233, as the 09-03 pass judged. Both partners still publish direct emails: Will Gaither (wgaither@, Auburn building-science graduate) and Cody Stubblefield (cstubblefield@). The hospital work is confirmed - Erlanger East Hospital is in their project list - so superintendent trucks and crew vehicles on real sites.</t>
        </is>
      </c>
    </row>
    <row r="170">
      <c r="A170" s="7" t="inlineStr">
        <is>
          <t>A</t>
        </is>
      </c>
      <c r="B170" s="9" t="inlineStr">
        <is>
          <t>Confirmed on company site</t>
        </is>
      </c>
      <c r="C170" s="9" t="inlineStr">
        <is>
          <t>Piping Supply Company</t>
        </is>
      </c>
      <c r="D170" s="9" t="inlineStr">
        <is>
          <t>Industrial Pipe, Valve &amp; Fitting Distributor</t>
        </is>
      </c>
      <c r="E170" s="9" t="inlineStr">
        <is>
          <t>(423) 698-8996</t>
        </is>
      </c>
      <c r="F170" s="9" t="inlineStr">
        <is>
          <t>Chattanooga</t>
        </is>
      </c>
      <c r="G170" s="9" t="inlineStr">
        <is>
          <t>3008 North Hickory Street</t>
        </is>
      </c>
      <c r="H170" s="9" t="inlineStr">
        <is>
          <t>37406</t>
        </is>
      </c>
      <c r="I170" s="9" t="inlineStr">
        <is>
          <t>sales@pipingpvf.com</t>
        </is>
      </c>
      <c r="J170" s="9" t="inlineStr">
        <is>
          <t>pipingpvf.com</t>
        </is>
      </c>
      <c r="K170" s="10" t="n"/>
      <c r="L170" s="10" t="n"/>
      <c r="M170" s="10" t="n"/>
      <c r="N170" s="10" t="n"/>
      <c r="O170" s="9" t="inlineStr">
        <is>
          <t>OFFICIAL SITE 2026-09-04: phone (423) 698-8996 and address 3008 N. Hickory Street 37406 RE-CONFIRMED - they run the number in their own page titles - plus sales@pipingpvf.com. Hours Mon-Fri 7:00-16:30 WITH EMERGENCY SERVICE, which is the tell that delivery trucks run outside office hours. The utility division is confirmed: they trade as Piping Supply Company AND AMS UTILITIES, supplying municipal, fire protection, drainage and gas work - so the 1-10 headcount on the record is certainly understated.</t>
        </is>
      </c>
    </row>
    <row r="171">
      <c r="A171" s="7" t="inlineStr">
        <is>
          <t>A</t>
        </is>
      </c>
      <c r="B171" s="9" t="inlineStr">
        <is>
          <t>Confirmed on company site</t>
        </is>
      </c>
      <c r="C171" s="9" t="inlineStr">
        <is>
          <t>PMI Chattanooga</t>
        </is>
      </c>
      <c r="D171" s="9" t="inlineStr">
        <is>
          <t>Property Management</t>
        </is>
      </c>
      <c r="E171" s="9" t="inlineStr">
        <is>
          <t>(423) 708-6407</t>
        </is>
      </c>
      <c r="F171" s="9" t="inlineStr">
        <is>
          <t>Chattanooga</t>
        </is>
      </c>
      <c r="G171" s="9" t="inlineStr">
        <is>
          <t>6720 Heritage Business Ct Ste 601</t>
        </is>
      </c>
      <c r="H171" s="9" t="inlineStr">
        <is>
          <t>37421</t>
        </is>
      </c>
      <c r="I171" s="9" t="inlineStr">
        <is>
          <t>amoffett@pmichattanooga.com</t>
        </is>
      </c>
      <c r="J171" s="9" t="inlineStr">
        <is>
          <t>chattanoogapropertymanagementinc.com</t>
        </is>
      </c>
      <c r="K171" s="10" t="n"/>
      <c r="L171" s="10" t="n"/>
      <c r="M171" s="10" t="n"/>
      <c r="N171" s="10" t="n"/>
      <c r="O171" s="9" t="inlineStr">
        <is>
          <t>OFFICIAL SITE 2026-09-04: phone (423) 708-6407 RE-CONFIRMED on their own contact page, address 6720 Heritage Business Court Ste 601 37421 confirmed. Their site publishes only the generic info@pmichattanooga.com; the amoffett@ address on file is a named contact and is the better first approach, with info@ as fallback. Manages commercial and multifamily as well as single-family, so the maintenance side runs vehicles.</t>
        </is>
      </c>
    </row>
    <row r="172">
      <c r="A172" s="7" t="inlineStr">
        <is>
          <t>A</t>
        </is>
      </c>
      <c r="B172" s="9" t="inlineStr">
        <is>
          <t>Confirmed on company site</t>
        </is>
      </c>
      <c r="C172" s="9" t="inlineStr">
        <is>
          <t>Pop-A-Lock (Chattanooga franchise)</t>
        </is>
      </c>
      <c r="D172" s="9" t="inlineStr">
        <is>
          <t>Locksmith (Mobile)</t>
        </is>
      </c>
      <c r="E172" s="9" t="inlineStr">
        <is>
          <t>(423) 238-6736</t>
        </is>
      </c>
      <c r="F172" s="9" t="inlineStr">
        <is>
          <t>Chattanooga</t>
        </is>
      </c>
      <c r="G172" s="9" t="inlineStr">
        <is>
          <t>2288 Gunbarrel Rd Ste 154 PMB 228</t>
        </is>
      </c>
      <c r="H172" s="9" t="inlineStr">
        <is>
          <t>37421</t>
        </is>
      </c>
      <c r="I172" s="9" t="n"/>
      <c r="J172" s="9" t="inlineStr">
        <is>
          <t>popalock.com</t>
        </is>
      </c>
      <c r="K172" s="10" t="n"/>
      <c r="L172" s="10" t="n"/>
      <c r="M172" s="10" t="n"/>
      <c r="N172" s="10" t="n"/>
      <c r="O172" s="9" t="inlineStr">
        <is>
          <t>OFFICIAL SITE 2026-09-04: phone (423) 238-6736 RE-CONFIRMED on popalock.com's own Chattanooga franchise pages. They run a dedicated automotive/vehicle service line covering the whole county and into North Georgia - Apison, Collegedale, Ooltewah, Harrison, Soddy Daisy, Signal Mountain, Red Bank, East Ridge, Ringgold, Rossville, Fort Oglethorpe. A mobile-van fleet doing roadside work, so windshields take a beating.</t>
        </is>
      </c>
    </row>
    <row r="173">
      <c r="A173" s="7" t="inlineStr">
        <is>
          <t>A</t>
        </is>
      </c>
      <c r="B173" s="9" t="inlineStr">
        <is>
          <t>Confirmed on company site</t>
        </is>
      </c>
      <c r="C173" s="9" t="inlineStr">
        <is>
          <t>Pro Auto and Fleet Detailing</t>
        </is>
      </c>
      <c r="D173" s="9" t="inlineStr">
        <is>
          <t>Mobile Auto &amp; Fleet Detailing</t>
        </is>
      </c>
      <c r="E173" s="9" t="inlineStr">
        <is>
          <t>(423) 488-0567</t>
        </is>
      </c>
      <c r="F173" s="9" t="inlineStr">
        <is>
          <t>Chattanooga</t>
        </is>
      </c>
      <c r="G173" s="9" t="n"/>
      <c r="H173" s="9" t="n"/>
      <c r="I173" s="9" t="n"/>
      <c r="J173" s="9" t="inlineStr">
        <is>
          <t>proautoandfleetdetailing.com</t>
        </is>
      </c>
      <c r="K173" s="10" t="n"/>
      <c r="L173" s="10" t="n"/>
      <c r="M173" s="10" t="n"/>
      <c r="N173" s="10" t="n"/>
      <c r="O173" s="9" t="inlineStr">
        <is>
          <t>OFFICIAL SITE 2026-09-04: phone (423) 488-0567 RE-CONFIRMED on proautoandfleetdetailing.com. Fully mobile, no shop address published - correctly left blank. Their own service list is the reason to call twice over: a dedicated fleet washing and detailing line, plus RV, boat and motorcycle detailing, ceramic coating and HEADLIGHT REPAIR - they already sell glass-adjacent work into the fleets you want, so a referral arrangement is the real play here, not just their own mobile rigs.</t>
        </is>
      </c>
    </row>
    <row r="174">
      <c r="A174" s="7" t="inlineStr">
        <is>
          <t>A</t>
        </is>
      </c>
      <c r="B174" s="9" t="inlineStr">
        <is>
          <t>Confirmed on company site</t>
        </is>
      </c>
      <c r="C174" s="9" t="inlineStr">
        <is>
          <t>Quality Fence Company</t>
        </is>
      </c>
      <c r="D174" s="9" t="inlineStr">
        <is>
          <t>Fence &amp; Gate Contractor</t>
        </is>
      </c>
      <c r="E174" s="9" t="inlineStr">
        <is>
          <t>(423) 825-0513</t>
        </is>
      </c>
      <c r="F174" s="9" t="inlineStr">
        <is>
          <t>Chattanooga</t>
        </is>
      </c>
      <c r="G174" s="9" t="inlineStr">
        <is>
          <t>6020 Pinehurst Avenue</t>
        </is>
      </c>
      <c r="H174" s="9" t="inlineStr">
        <is>
          <t>37421</t>
        </is>
      </c>
      <c r="I174" s="9" t="inlineStr">
        <is>
          <t>info@fence.net</t>
        </is>
      </c>
      <c r="J174" s="9" t="inlineStr">
        <is>
          <t>fence.net</t>
        </is>
      </c>
      <c r="K174" s="10" t="n"/>
      <c r="L174" s="10" t="n"/>
      <c r="M174" s="10" t="n"/>
      <c r="N174" s="10" t="n"/>
      <c r="O174" s="9" t="inlineStr">
        <is>
          <t>OFFICIAL SITE 2026-09-04: phone (423) 825-0513, address 6020 Pinehurst Avenue 37421 and info@fence.net ALL RE-CONFIRMED; hours Mon-Fri 8:00-16:30. Their own claims: Chattanooga's oldest and most experienced fence and gate company, and the city's largest gate and operator provider, 40+ years. Residential, commercial, temporary fencing and automatic gates - flatbeds and trailers hauling posts and panels daily, plus service calls on gate operators, which is a second stream of vehicle movement.</t>
        </is>
      </c>
    </row>
    <row r="175">
      <c r="A175" s="7" t="inlineStr">
        <is>
          <t>A</t>
        </is>
      </c>
      <c r="B175" s="9" t="inlineStr">
        <is>
          <t>Confirmed on company site</t>
        </is>
      </c>
      <c r="C175" s="9" t="inlineStr">
        <is>
          <t>Quality Tire Pros</t>
        </is>
      </c>
      <c r="D175" s="9" t="inlineStr">
        <is>
          <t>Tire Shop / Auto Repair</t>
        </is>
      </c>
      <c r="E175" s="9" t="inlineStr">
        <is>
          <t>(423) 267-9715</t>
        </is>
      </c>
      <c r="F175" s="9" t="inlineStr">
        <is>
          <t>Chattanooga</t>
        </is>
      </c>
      <c r="G175" s="9" t="inlineStr">
        <is>
          <t>322 Cherokee Blvd</t>
        </is>
      </c>
      <c r="H175" s="9" t="inlineStr">
        <is>
          <t>37405</t>
        </is>
      </c>
      <c r="I175" s="9" t="inlineStr">
        <is>
          <t>qualitytirepros@gmail.com</t>
        </is>
      </c>
      <c r="J175" s="9" t="inlineStr">
        <is>
          <t>qualitytirepros.com</t>
        </is>
      </c>
      <c r="K175" s="10" t="n"/>
      <c r="L175" s="10" t="n"/>
      <c r="M175" s="10" t="n"/>
      <c r="N175" s="10" t="n"/>
      <c r="O175" s="9" t="inlineStr">
        <is>
          <t>OFFICIAL SITE: phone (423) 267-9715 RE-CONFIRMED 2026-09-04 and EMAIL FOUND (qualitytirepros@gmail.com). 322 Cherokee Blvd confirmed. Open Mon-Fri 7:30-17:30, Sat 7:30-14:00. Fleet-services division covering Chattanooga, Fort Oglethorpe and Cleveland - the Cherokee Blvd shop is the Hamilton County one.</t>
        </is>
      </c>
    </row>
    <row r="176">
      <c r="A176" s="7" t="inlineStr">
        <is>
          <t>A</t>
        </is>
      </c>
      <c r="B176" s="9" t="inlineStr">
        <is>
          <t>Confirmed on company site</t>
        </is>
      </c>
      <c r="C176" s="9" t="inlineStr">
        <is>
          <t>R &amp; D Wrecker Service</t>
        </is>
      </c>
      <c r="D176" s="9" t="inlineStr">
        <is>
          <t>Towing</t>
        </is>
      </c>
      <c r="E176" s="9" t="inlineStr">
        <is>
          <t>(423) 877-8698</t>
        </is>
      </c>
      <c r="F176" s="9" t="inlineStr">
        <is>
          <t>Hixson</t>
        </is>
      </c>
      <c r="G176" s="9" t="inlineStr">
        <is>
          <t>5605 Hixson Pike</t>
        </is>
      </c>
      <c r="H176" s="9" t="inlineStr">
        <is>
          <t>37343</t>
        </is>
      </c>
      <c r="I176" s="9" t="n"/>
      <c r="J176" s="9" t="inlineStr">
        <is>
          <t>rdwrecker.com</t>
        </is>
      </c>
      <c r="K176" s="10" t="n"/>
      <c r="L176" s="10" t="n"/>
      <c r="M176" s="10" t="n"/>
      <c r="N176" s="10" t="n"/>
      <c r="O176" s="9" t="inlineStr">
        <is>
          <t>OFFICIAL SITE 2026-09-04: phone (423) 877-8698 RE-CONFIRMED on rdwrecker.com. 30+ years, accident towing and nationwide car transport, and they run a dedicated commercial-towing-for-dealerships page - that dealership contract work is the tell for a sizeable wrecker fleet. Still no email published.</t>
        </is>
      </c>
    </row>
    <row r="177">
      <c r="A177" s="7" t="inlineStr">
        <is>
          <t>A</t>
        </is>
      </c>
      <c r="B177" s="9" t="inlineStr">
        <is>
          <t>Confirmed on company site</t>
        </is>
      </c>
      <c r="C177" s="9" t="inlineStr">
        <is>
          <t>Red Iron Steel</t>
        </is>
      </c>
      <c r="D177" s="9" t="inlineStr">
        <is>
          <t>Structural Steel Erection / Fabrication</t>
        </is>
      </c>
      <c r="E177" s="9" t="inlineStr">
        <is>
          <t>(423) 413-1480</t>
        </is>
      </c>
      <c r="F177" s="9" t="inlineStr">
        <is>
          <t>Hixson</t>
        </is>
      </c>
      <c r="G177" s="9" t="n"/>
      <c r="H177" s="9" t="inlineStr">
        <is>
          <t>37343</t>
        </is>
      </c>
      <c r="I177" s="9" t="n"/>
      <c r="J177" s="9" t="inlineStr">
        <is>
          <t>redironsteel.net</t>
        </is>
      </c>
      <c r="K177" s="10" t="n"/>
      <c r="L177" s="10" t="n"/>
      <c r="M177" s="10" t="n"/>
      <c r="N177" s="10" t="n"/>
      <c r="O177" s="9" t="inlineStr">
        <is>
          <t>OFFICIAL SITE 2026-09-04: phone (423) 413-1480 RE-CONFIRMED on redironsteel.net. Steel erection, custom fabrication and stair fabrication, plus a NATIONWIDE STEEL SHIPPING line - that last one means over-the-road hauling, not just local boom trucks and flatbeds. Free estimates. Still no street address published.</t>
        </is>
      </c>
    </row>
    <row r="178">
      <c r="A178" s="7" t="inlineStr">
        <is>
          <t>A</t>
        </is>
      </c>
      <c r="B178" s="9" t="inlineStr">
        <is>
          <t>Confirmed on company site</t>
        </is>
      </c>
      <c r="C178" s="9" t="inlineStr">
        <is>
          <t>RELIABLE BUILDING SOLUTIONS, INC.</t>
        </is>
      </c>
      <c r="D178" s="9" t="inlineStr">
        <is>
          <t>Commercial Cleaning &amp; Janitorial</t>
        </is>
      </c>
      <c r="E178" s="9" t="inlineStr">
        <is>
          <t>(423) 954-9834</t>
        </is>
      </c>
      <c r="F178" s="9" t="inlineStr">
        <is>
          <t>Chattanooga</t>
        </is>
      </c>
      <c r="G178" s="9" t="inlineStr">
        <is>
          <t>6232 Airpark Drive</t>
        </is>
      </c>
      <c r="H178" s="9" t="inlineStr">
        <is>
          <t>37421</t>
        </is>
      </c>
      <c r="I178" s="9" t="inlineStr">
        <is>
          <t>info@rbsi-online.com</t>
        </is>
      </c>
      <c r="J178" s="9" t="inlineStr">
        <is>
          <t>rbsi-online.com</t>
        </is>
      </c>
      <c r="K178" s="10" t="n"/>
      <c r="L178" s="10" t="n"/>
      <c r="M178" s="10" t="n"/>
      <c r="N178" s="10" t="n"/>
      <c r="O178" s="9" t="inlineStr">
        <is>
          <t>OFFICIAL SITE 2026-09-04: phone (423) 954-9834, address 6232 Airpark Drive and info@RBSi-online.com ALL RE-CONFIRMED. THE FIVE-CITY FOOTPRINT IS CONFIRMED ON THEIR OWN PAGES: Chattanooga, Knoxville, Nashville, Dalton GA and Atlanta GA - real highway miles between accounts, and better fleet exposure than the headcount suggests. Commercial cleaning, custodial, janitorial and a green-cleaning line; their testimonials name EPB and Hawks Property Management as clients.</t>
        </is>
      </c>
    </row>
    <row r="179">
      <c r="A179" s="7" t="inlineStr">
        <is>
          <t>A</t>
        </is>
      </c>
      <c r="B179" s="9" t="inlineStr">
        <is>
          <t>Confirmed on company site</t>
        </is>
      </c>
      <c r="C179" s="9" t="inlineStr">
        <is>
          <t>Reliable Heating &amp; Air Conditioning</t>
        </is>
      </c>
      <c r="D179" s="9" t="inlineStr">
        <is>
          <t>HVAC Contractor</t>
        </is>
      </c>
      <c r="E179" s="9" t="inlineStr">
        <is>
          <t>(423) 266-2424</t>
        </is>
      </c>
      <c r="F179" s="9" t="inlineStr">
        <is>
          <t>Chattanooga</t>
        </is>
      </c>
      <c r="G179" s="9" t="inlineStr">
        <is>
          <t>404 Spears Avenue</t>
        </is>
      </c>
      <c r="H179" s="9" t="inlineStr">
        <is>
          <t>37405</t>
        </is>
      </c>
      <c r="I179" s="9" t="inlineStr">
        <is>
          <t>davidc@reliable-online.com</t>
        </is>
      </c>
      <c r="J179" s="9" t="inlineStr">
        <is>
          <t>reliable-online.com</t>
        </is>
      </c>
      <c r="K179" s="10" t="n"/>
      <c r="L179" s="10" t="n"/>
      <c r="M179" s="10" t="n"/>
      <c r="N179" s="10" t="n"/>
      <c r="O179" s="9" t="inlineStr">
        <is>
          <t>OFFICIAL SITE 2026-09-04: phone (423) 266-2424 and address 404 Spears Ave 37405 RE-CONFIRMED (it took two searches; the first surfaced only the address). It doubles as their 24-HOUR EMERGENCY line. THEIR OWN FLEET CLAIM IS THE PITCH: 'the largest residential heating and AC service team in the Chattanooga area', with FULLY-STOCKED VANS - a company that says that in its own marketing has a van count worth quoting. Eight-time Chattanooga People's Choice winner. They also fit home generators. davidc@reliable-online.com is a named address.</t>
        </is>
      </c>
    </row>
    <row r="180">
      <c r="A180" s="7" t="inlineStr">
        <is>
          <t>A</t>
        </is>
      </c>
      <c r="B180" s="9" t="inlineStr">
        <is>
          <t>Confirmed on company site</t>
        </is>
      </c>
      <c r="C180" s="9" t="inlineStr">
        <is>
          <t>Rio Grande Fence Co. of Tennessee (Chattanooga branch)</t>
        </is>
      </c>
      <c r="D180" s="9" t="inlineStr">
        <is>
          <t>Fencing</t>
        </is>
      </c>
      <c r="E180" s="9" t="inlineStr">
        <is>
          <t>(423) 874-8700</t>
        </is>
      </c>
      <c r="F180" s="9" t="inlineStr">
        <is>
          <t>Chattanooga</t>
        </is>
      </c>
      <c r="G180" s="9" t="inlineStr">
        <is>
          <t>14 Pryor Dr Ste 405</t>
        </is>
      </c>
      <c r="H180" s="9" t="inlineStr">
        <is>
          <t>37421</t>
        </is>
      </c>
      <c r="I180" s="9" t="inlineStr">
        <is>
          <t>bids@rgfence.com</t>
        </is>
      </c>
      <c r="J180" s="9" t="inlineStr">
        <is>
          <t>rgfence.com</t>
        </is>
      </c>
      <c r="K180" s="10" t="n"/>
      <c r="L180" s="10" t="n"/>
      <c r="M180" s="10" t="n"/>
      <c r="N180" s="10" t="n"/>
      <c r="O180" s="9" t="inlineStr">
        <is>
          <t>OFFICIAL SITE 2026-09-04: phone (423) 874-8700 RE-CONFIRMED on rgfence.com's own Chattanooga pages, address 14 Pryor Dr Ste 405 37421 confirmed, hours Mon-Fri 7:00-16:00 ET. In business since 1958 with three TN branches (Nashville, Knoxville, Chattanooga). Commercial, industrial and institutional fencing plus temporary fence rentals - crew trucks and trailers on job sites daily, which is where the rock chips come from. CAUTION STANDS: bids@rgfence.com is company-wide, not this branch.</t>
        </is>
      </c>
    </row>
    <row r="181">
      <c r="A181" s="7" t="inlineStr">
        <is>
          <t>A</t>
        </is>
      </c>
      <c r="B181" s="9" t="inlineStr">
        <is>
          <t>Confirmed on company site</t>
        </is>
      </c>
      <c r="C181" s="9" t="inlineStr">
        <is>
          <t>River Stone Construction LLC</t>
        </is>
      </c>
      <c r="D181" s="9" t="inlineStr">
        <is>
          <t>Home Builder</t>
        </is>
      </c>
      <c r="E181" s="9" t="inlineStr">
        <is>
          <t>(423) 954-7550</t>
        </is>
      </c>
      <c r="F181" s="9" t="inlineStr">
        <is>
          <t>Chattanooga</t>
        </is>
      </c>
      <c r="G181" s="9" t="inlineStr">
        <is>
          <t>6005 Century Oaks Drive Suite 500</t>
        </is>
      </c>
      <c r="H181" s="9" t="inlineStr">
        <is>
          <t>37416</t>
        </is>
      </c>
      <c r="I181" s="9" t="n"/>
      <c r="J181" s="9" t="inlineStr">
        <is>
          <t>riverstone-homes.com</t>
        </is>
      </c>
      <c r="K181" s="10" t="n"/>
      <c r="L181" s="10" t="n"/>
      <c r="M181" s="10" t="n"/>
      <c r="N181" s="10" t="n"/>
      <c r="O181" s="9" t="inlineStr">
        <is>
          <t>OFFICIAL SITE 2026-09-04: phone (423) 954-7550 and address 6005 Century Oaks Dr Suite 500, 37416 RE-CONFIRMED - their site calls it the River Stone Showroom, so expect a sales counter rather than a yard. Production home builder in single-family and luxury townhomes. THIRD MARKET FOUND: alongside Chattanooga and Cleveland they now run a DALTON GA market page - superintendent trucks crossing the state line between subdivisions. No email published; careers page is public.</t>
        </is>
      </c>
    </row>
    <row r="182">
      <c r="A182" s="7" t="inlineStr">
        <is>
          <t>A</t>
        </is>
      </c>
      <c r="B182" s="9" t="inlineStr">
        <is>
          <t>Confirmed on company site</t>
        </is>
      </c>
      <c r="C182" s="9" t="inlineStr">
        <is>
          <t>Riverside Plumbing</t>
        </is>
      </c>
      <c r="D182" s="9" t="inlineStr">
        <is>
          <t>Plumbing Contractor</t>
        </is>
      </c>
      <c r="E182" s="9" t="inlineStr">
        <is>
          <t>(423) 598-3362</t>
        </is>
      </c>
      <c r="F182" s="9" t="inlineStr">
        <is>
          <t>Chattanooga</t>
        </is>
      </c>
      <c r="G182" s="9" t="n"/>
      <c r="H182" s="9" t="inlineStr">
        <is>
          <t>37405</t>
        </is>
      </c>
      <c r="I182" s="9" t="n"/>
      <c r="J182" s="9" t="inlineStr">
        <is>
          <t>riversideplumbingtn.com</t>
        </is>
      </c>
      <c r="K182" s="10" t="n"/>
      <c r="L182" s="10" t="n"/>
      <c r="M182" s="10" t="n"/>
      <c r="N182" s="10" t="n"/>
      <c r="O182" s="9" t="inlineStr">
        <is>
          <t>OFFICIAL SITE 2026-09-04: phone (423) 598-3362 RE-CONFIRMED on riversideplumbingtn.com. Full-service RESIDENTIAL plumbing repair - service vans running calls across the city all day, which is steady windshield business. Erik McNair is confirmed on the site as the author of their pages, so the name is right even though his role is not stated - ask for him. The street address stays off: their site still says downtown while the record said 3873 Hixson Pike, and nothing confirms which yard they work from.</t>
        </is>
      </c>
    </row>
    <row r="183">
      <c r="A183" s="7" t="inlineStr">
        <is>
          <t>A</t>
        </is>
      </c>
      <c r="B183" s="9" t="inlineStr">
        <is>
          <t>Confirmed on company site</t>
        </is>
      </c>
      <c r="C183" s="9" t="inlineStr">
        <is>
          <t>ROBERT SMITH INC</t>
        </is>
      </c>
      <c r="D183" s="9" t="inlineStr">
        <is>
          <t>Site Paving &amp; Roller Compacted Concrete</t>
        </is>
      </c>
      <c r="E183" s="9" t="inlineStr">
        <is>
          <t>(423) 892-2178</t>
        </is>
      </c>
      <c r="F183" s="9" t="inlineStr">
        <is>
          <t>Chattanooga</t>
        </is>
      </c>
      <c r="G183" s="9" t="inlineStr">
        <is>
          <t>4657 Shallowford Road</t>
        </is>
      </c>
      <c r="H183" s="9" t="inlineStr">
        <is>
          <t>37411</t>
        </is>
      </c>
      <c r="I183" s="9" t="inlineStr">
        <is>
          <t>andrew@robertsmithinc.com</t>
        </is>
      </c>
      <c r="J183" s="9" t="inlineStr">
        <is>
          <t>robertsmithinc.com</t>
        </is>
      </c>
      <c r="K183" s="10" t="n"/>
      <c r="L183" s="10" t="n"/>
      <c r="M183" s="10" t="n"/>
      <c r="N183" s="10" t="n"/>
      <c r="O183" s="9" t="inlineStr">
        <is>
          <t>OFFICIAL SITE 2026-09-04: phone (423) 892-2178 and address 4657 Shallowford Rd 37411 RE-CONFIRMED - the address came from their site rather than the record, and it holds. Andrew Smith confirmed as the named contact with BOTH numbers published: office 423-892-2178 and CELL 423-421-0457, plus andrew@robertsmithinc.com. A published mobile is the fastest route to a paving contractor who is rarely at a desk. 30+ years in site paving and roller-compacted concrete across residential, commercial and industrial - dump trucks, rollers and crew pickups on gravel and construction sites.</t>
        </is>
      </c>
    </row>
    <row r="184">
      <c r="A184" s="7" t="inlineStr">
        <is>
          <t>A</t>
        </is>
      </c>
      <c r="B184" s="9" t="inlineStr">
        <is>
          <t>Confirmed on company site</t>
        </is>
      </c>
      <c r="C184" s="9" t="inlineStr">
        <is>
          <t>ROOFING &amp; SUPPLY COMPANY</t>
        </is>
      </c>
      <c r="D184" s="9" t="inlineStr">
        <is>
          <t>Roofing Materials Supplier</t>
        </is>
      </c>
      <c r="E184" s="9" t="inlineStr">
        <is>
          <t>(423) 259-3244</t>
        </is>
      </c>
      <c r="F184" s="9" t="inlineStr">
        <is>
          <t>Chattanooga</t>
        </is>
      </c>
      <c r="G184" s="9" t="n"/>
      <c r="H184" s="9" t="inlineStr">
        <is>
          <t>37402</t>
        </is>
      </c>
      <c r="I184" s="9" t="n"/>
      <c r="J184" s="9" t="inlineStr">
        <is>
          <t>theroofingandsupplycotn.com</t>
        </is>
      </c>
      <c r="K184" s="10" t="n"/>
      <c r="L184" s="10" t="n"/>
      <c r="M184" s="10" t="n"/>
      <c r="N184" s="10" t="n"/>
      <c r="O184" s="9" t="inlineStr">
        <is>
          <t>OFFICIAL SITE 2026-09-04: phone (423) 259-3244 RE-CONFIRMED on theroofingandsupplycotn.com. The 1927 founding is confirmed in their own words, with the family line named: founded by Charles Danner and run since by his grandson and great-grandson - so the same family answers the phone. They carry GAF, Tamko, IKO and CertainTeed shingles, EPDM and TPO, metal roofing panels and run a CUSTOM METAL SHOP, supplying Chattanooga, Hixson and Chickamauga GA - boom trucks loading shingles onto roofs across three states. Their site still does not print a street address, so the record's 1409 Fort Street stays off.</t>
        </is>
      </c>
    </row>
    <row r="185">
      <c r="A185" s="7" t="inlineStr">
        <is>
          <t>A</t>
        </is>
      </c>
      <c r="B185" s="9" t="inlineStr">
        <is>
          <t>Confirmed on company site</t>
        </is>
      </c>
      <c r="C185" s="9" t="inlineStr">
        <is>
          <t>RoofingCo.com</t>
        </is>
      </c>
      <c r="D185" s="9" t="inlineStr">
        <is>
          <t>Roofing Contractor</t>
        </is>
      </c>
      <c r="E185" s="9" t="inlineStr">
        <is>
          <t>(423) 456-5504</t>
        </is>
      </c>
      <c r="F185" s="9" t="inlineStr">
        <is>
          <t>Chattanooga</t>
        </is>
      </c>
      <c r="G185" s="9" t="inlineStr">
        <is>
          <t>4548 Brainerd Road Suite 200</t>
        </is>
      </c>
      <c r="H185" s="9" t="inlineStr">
        <is>
          <t>37411</t>
        </is>
      </c>
      <c r="I185" s="9" t="n"/>
      <c r="J185" s="9" t="inlineStr">
        <is>
          <t>roofingco.com</t>
        </is>
      </c>
      <c r="K185" s="10" t="n"/>
      <c r="L185" s="10" t="n"/>
      <c r="M185" s="10" t="n"/>
      <c r="N185" s="10" t="n"/>
      <c r="O185" s="9" t="inlineStr">
        <is>
          <t>OFFICIAL SITE 2026-09-04: phone (423) 456-5504 and address 4548 Brainerd Road Suite 200, 37411 RE-CONFIRMED - the 09-03 call to take Brainerd Road over the record's Ringgold Road holds. Residential and commercial roofing plus gutters, with dedicated STORM DAMAGE and roof-insurance-claim pages: storm work is short-notice, wide-area driving. No email published.</t>
        </is>
      </c>
    </row>
    <row r="186">
      <c r="A186" s="7" t="inlineStr">
        <is>
          <t>A</t>
        </is>
      </c>
      <c r="B186" s="9" t="inlineStr">
        <is>
          <t>Confirmed on company site</t>
        </is>
      </c>
      <c r="C186" s="9" t="inlineStr">
        <is>
          <t>ROWLAND DEVELOPMENT GROUP, LLC</t>
        </is>
      </c>
      <c r="D186" s="9" t="inlineStr">
        <is>
          <t>Custom Home Builder &amp; Developer</t>
        </is>
      </c>
      <c r="E186" s="9" t="inlineStr">
        <is>
          <t>(423) 508-8837</t>
        </is>
      </c>
      <c r="F186" s="9" t="inlineStr">
        <is>
          <t>Chattanooga</t>
        </is>
      </c>
      <c r="G186" s="9" t="inlineStr">
        <is>
          <t>3023 Kellys Ferry Road</t>
        </is>
      </c>
      <c r="H186" s="9" t="inlineStr">
        <is>
          <t>37419</t>
        </is>
      </c>
      <c r="I186" s="9" t="n"/>
      <c r="J186" s="9" t="inlineStr">
        <is>
          <t>rdgtn.com</t>
        </is>
      </c>
      <c r="K186" s="10" t="n"/>
      <c r="L186" s="10" t="n"/>
      <c r="M186" s="10" t="n"/>
      <c r="N186" s="10" t="n"/>
      <c r="O186" s="9" t="inlineStr">
        <is>
          <t>OFFICIAL SITE 2026-09-04: phone (423) 508-8837 and address 3023 Kellys Ferry Rd 37419 RE-CONFIRMED - the 09-03 call to take their site over the record's Magnolia Vale Drive holds. FOUNDERS NAMED ON THEIR OWN ABOUT PAGE: Phil and Dusty Rowland, trading since January 2005. The mountain-miles case is confirmed too: dozens of homes at Black Creek Mountain and preferred-builder status at Jasper Highlands and River Gorge Ranch - gravel access roads are where windscreens take chips. They also run Highland Park, Timber Ridge and Harper Hill Townhomes. The sales@ua-sp.com address on their site is still unedited template text and stays unrecorded.</t>
        </is>
      </c>
    </row>
    <row r="187">
      <c r="A187" s="7" t="inlineStr">
        <is>
          <t>A</t>
        </is>
      </c>
      <c r="B187" s="9" t="inlineStr">
        <is>
          <t>Confirmed on company site</t>
        </is>
      </c>
      <c r="C187" s="9" t="inlineStr">
        <is>
          <t>RPM &amp; Associates, Inc.</t>
        </is>
      </c>
      <c r="D187" s="9" t="inlineStr">
        <is>
          <t>Retail General Contractor</t>
        </is>
      </c>
      <c r="E187" s="9" t="inlineStr">
        <is>
          <t>(423) 875-8940</t>
        </is>
      </c>
      <c r="F187" s="9" t="inlineStr">
        <is>
          <t>Chattanooga</t>
        </is>
      </c>
      <c r="G187" s="9" t="n"/>
      <c r="H187" s="9" t="inlineStr">
        <is>
          <t>37405</t>
        </is>
      </c>
      <c r="I187" s="9" t="n"/>
      <c r="J187" s="9" t="inlineStr">
        <is>
          <t>rpmassociatesinc.net</t>
        </is>
      </c>
      <c r="K187" s="10" t="n"/>
      <c r="L187" s="10" t="n"/>
      <c r="M187" s="10" t="n"/>
      <c r="N187" s="10" t="n"/>
      <c r="O187" s="9" t="inlineStr">
        <is>
          <t>OFFICIAL SITE 2026-09-04: phone (423) 875-8940 RE-CONFIRMED on rpmassociatesinc.net; fax 423-875-8893. Trading since 1978, retail construction NATIONWIDE - and their current-projects list names the clients: Food Lion and Kroger store numbers, which is exactly the supermarket-remodel pattern that keeps superintendents living in their trucks. They publish an Employees page. Still no street address on the site, so the record's Mountain Creek Road suite stays off.</t>
        </is>
      </c>
    </row>
    <row r="188">
      <c r="A188" s="7" t="inlineStr">
        <is>
          <t>A</t>
        </is>
      </c>
      <c r="B188" s="9" t="inlineStr">
        <is>
          <t>Confirmed on company site</t>
        </is>
      </c>
      <c r="C188" s="9" t="inlineStr">
        <is>
          <t>S &amp; H Trucking, Inc.</t>
        </is>
      </c>
      <c r="D188" s="9" t="inlineStr">
        <is>
          <t>Freight Carrier</t>
        </is>
      </c>
      <c r="E188" s="9" t="inlineStr">
        <is>
          <t>(423) 648-5355</t>
        </is>
      </c>
      <c r="F188" s="9" t="inlineStr">
        <is>
          <t>Chattanooga</t>
        </is>
      </c>
      <c r="G188" s="9" t="n"/>
      <c r="H188" s="9" t="inlineStr">
        <is>
          <t>37410</t>
        </is>
      </c>
      <c r="I188" s="9" t="inlineStr">
        <is>
          <t>operations@sandh-trucking.com</t>
        </is>
      </c>
      <c r="J188" s="9" t="inlineStr">
        <is>
          <t>sandh-trucking.com</t>
        </is>
      </c>
      <c r="K188" s="10" t="n"/>
      <c r="L188" s="10" t="n"/>
      <c r="M188" s="10" t="n"/>
      <c r="N188" s="10" t="n"/>
      <c r="O188" s="9" t="inlineStr">
        <is>
          <t>OFFICIAL SITE 2026-09-04: phone (423) 648-5355 RE-CONFIRMED, and MORE ROUTES IN THAN THE ROW HAD: toll-free 1-800-819-3896, and OPERATIONS DIRECT on 423-648-5355 ext 104 or 423-648-7198 - ask for operations, as the earlier note advised, and now you can dial them straight. THE MECHANICS POINT IS CONFIRMED: their employment page advertises for DRIVERS AND MECHANICS, so they run their own shop and make their own glass decisions. Full-service carrier running to Texas and the west coast, with local, flatbed and regional work. CAUTION STANDS: an Account Suspended page still sits on the domain, so parts of the site are lapsing - confirm they are trading when you call. No street address published.</t>
        </is>
      </c>
    </row>
    <row r="189">
      <c r="A189" s="7" t="inlineStr">
        <is>
          <t>A</t>
        </is>
      </c>
      <c r="B189" s="9" t="inlineStr">
        <is>
          <t>Confirmed on company site</t>
        </is>
      </c>
      <c r="C189" s="9" t="inlineStr">
        <is>
          <t>SA Recycling Chattanooga</t>
        </is>
      </c>
      <c r="D189" s="9" t="inlineStr">
        <is>
          <t>Recycling / Scrap Metal</t>
        </is>
      </c>
      <c r="E189" s="9" t="inlineStr">
        <is>
          <t>(423) 756-6070</t>
        </is>
      </c>
      <c r="F189" s="9" t="inlineStr">
        <is>
          <t>Chattanooga</t>
        </is>
      </c>
      <c r="G189" s="9" t="inlineStr">
        <is>
          <t>980 W 19th St</t>
        </is>
      </c>
      <c r="H189" s="9" t="inlineStr">
        <is>
          <t>37408</t>
        </is>
      </c>
      <c r="I189" s="9" t="n"/>
      <c r="J189" s="9" t="inlineStr">
        <is>
          <t>sarecycling.com/yard/sa-recycling-chattanooga</t>
        </is>
      </c>
      <c r="K189" s="10" t="n"/>
      <c r="L189" s="10" t="n"/>
      <c r="M189" s="10" t="n"/>
      <c r="N189" s="10" t="n"/>
      <c r="O189" s="9" t="inlineStr">
        <is>
          <t>OFFICIAL SITE 2026-09-04: phone (423) 756-6070 RE-CONFIRMED on sarecycling.com's own yard page, address 980 W 19th St 37408 confirmed. Their site says hours vary by yard and does not publish this one's. National scrap operator - roll-off and grapple trucks working a debris-heavy yard.</t>
        </is>
      </c>
    </row>
    <row r="190">
      <c r="A190" s="7" t="inlineStr">
        <is>
          <t>A</t>
        </is>
      </c>
      <c r="B190" s="9" t="inlineStr">
        <is>
          <t>Confirmed on company site</t>
        </is>
      </c>
      <c r="C190" s="9" t="inlineStr">
        <is>
          <t>Scenic City Recycling</t>
        </is>
      </c>
      <c r="D190" s="9" t="inlineStr">
        <is>
          <t>Curbside Recycling Collection</t>
        </is>
      </c>
      <c r="E190" s="9" t="inlineStr">
        <is>
          <t>(423) 933-4361</t>
        </is>
      </c>
      <c r="F190" s="9" t="inlineStr">
        <is>
          <t>Chattanooga</t>
        </is>
      </c>
      <c r="G190" s="9" t="inlineStr">
        <is>
          <t>2863 Suck Creek Road</t>
        </is>
      </c>
      <c r="H190" s="9" t="inlineStr">
        <is>
          <t>37405</t>
        </is>
      </c>
      <c r="I190" s="9" t="inlineStr">
        <is>
          <t>info@sceniccityrecycling.com</t>
        </is>
      </c>
      <c r="J190" s="9" t="inlineStr">
        <is>
          <t>sceniccityrecycling.com</t>
        </is>
      </c>
      <c r="K190" s="10" t="n"/>
      <c r="L190" s="10" t="n"/>
      <c r="M190" s="10" t="n"/>
      <c r="N190" s="10" t="n"/>
      <c r="O190" s="9" t="inlineStr">
        <is>
          <t>OFFICIAL SITE 2026-09-04: phone (423) 933-4361 and address 2863 Suck Creek Rd 37405 RE-CONFIRMED - their site beats the record's West Manning Street, as the 09-03 pass judged. OFFICE HOURS ARE NARROW: Mon-Fri 9:00-14:00, so ring mid-morning. Curbside collection for homes, apartments AND businesses - trucks on residential routes every working day. The two-way conversation still stands: as a recycler they are a disposal outlet for your waste glass as well as a customer.</t>
        </is>
      </c>
    </row>
    <row r="191">
      <c r="A191" s="7" t="inlineStr">
        <is>
          <t>A</t>
        </is>
      </c>
      <c r="B191" s="9" t="inlineStr">
        <is>
          <t>Confirmed on company site</t>
        </is>
      </c>
      <c r="C191" s="9" t="inlineStr">
        <is>
          <t>Schaerer Contracting Co., Inc.</t>
        </is>
      </c>
      <c r="D191" s="9" t="inlineStr">
        <is>
          <t>General Contractor</t>
        </is>
      </c>
      <c r="E191" s="9" t="inlineStr">
        <is>
          <t>(423) 698-2426</t>
        </is>
      </c>
      <c r="F191" s="9" t="inlineStr">
        <is>
          <t>Chattanooga</t>
        </is>
      </c>
      <c r="G191" s="9" t="inlineStr">
        <is>
          <t>1720 Sholar Avenue</t>
        </is>
      </c>
      <c r="H191" s="9" t="inlineStr">
        <is>
          <t>37404</t>
        </is>
      </c>
      <c r="I191" s="9" t="n"/>
      <c r="J191" s="9" t="inlineStr">
        <is>
          <t>schaererco.com</t>
        </is>
      </c>
      <c r="K191" s="10" t="n"/>
      <c r="L191" s="10" t="n"/>
      <c r="M191" s="10" t="n"/>
      <c r="N191" s="10" t="n"/>
      <c r="O191" s="9" t="inlineStr">
        <is>
          <t>OFFICIAL SITE 2026-09-04: phone (423) 698-2426, address 1720 Sholar Avenue and ZIP 37404 ALL RE-CONFIRMED - the 09-03 correction away from the Vibe record's 37406 holds; nothing needed changing. They also publish a TOLL-FREE line, 800-835-2426, which the earlier note missed and which suggests out-of-town work. Their project list backs the distance point: Main Street Southside Firehall, Bojangles in Soddy-Daisy, Spare Time Entertainment. Fourth-generation GC with a public company-profiles page and a subcontractors page - the latter is the supplier's way in. No email published.</t>
        </is>
      </c>
    </row>
    <row r="192">
      <c r="A192" s="7" t="inlineStr">
        <is>
          <t>A</t>
        </is>
      </c>
      <c r="B192" s="9" t="inlineStr">
        <is>
          <t>Confirmed on company site</t>
        </is>
      </c>
      <c r="C192" s="9" t="inlineStr">
        <is>
          <t>Servicemaster Clean Chattanooga</t>
        </is>
      </c>
      <c r="D192" s="9" t="inlineStr">
        <is>
          <t>Commercial Cleaning &amp; Janitorial</t>
        </is>
      </c>
      <c r="E192" s="9" t="inlineStr">
        <is>
          <t>(423) 460-9623</t>
        </is>
      </c>
      <c r="F192" s="9" t="inlineStr">
        <is>
          <t>Chattanooga</t>
        </is>
      </c>
      <c r="G192" s="9" t="inlineStr">
        <is>
          <t>2121 McCallie Avenue</t>
        </is>
      </c>
      <c r="H192" s="9" t="inlineStr">
        <is>
          <t>37404</t>
        </is>
      </c>
      <c r="I192" s="9" t="n"/>
      <c r="J192" s="9" t="inlineStr">
        <is>
          <t>servicemasterclean.com/servicemaster-of-chattanooga</t>
        </is>
      </c>
      <c r="K192" s="10" t="n"/>
      <c r="L192" s="10" t="n"/>
      <c r="M192" s="10" t="n"/>
      <c r="N192" s="10" t="n"/>
      <c r="O192" s="9" t="inlineStr">
        <is>
          <t>OFFICIAL SITE 2026-09-04: phone (423) 460-9623 and address 2121 McCallie Avenue 37404 RE-CONFIRMED on the franchise's own contact page. NOTE THE LEGAL NAME: servicemasterclean.com lists this location as SERVICEMASTER BUILDING MAINTENANCE CONTRACTS INC - useful if you need to look them up or invoice them. Commercial cleaning for properties of all sizes, crews moving between accounts across the metro. No email; franchise sites use a quote form.</t>
        </is>
      </c>
    </row>
    <row r="193">
      <c r="A193" s="7" t="inlineStr">
        <is>
          <t>A</t>
        </is>
      </c>
      <c r="B193" s="9" t="inlineStr">
        <is>
          <t>Confirmed on company site</t>
        </is>
      </c>
      <c r="C193" s="9" t="inlineStr">
        <is>
          <t>SERVPRO of Chattanooga</t>
        </is>
      </c>
      <c r="D193" s="9" t="inlineStr">
        <is>
          <t>Fire, Water &amp; Mould Restoration</t>
        </is>
      </c>
      <c r="E193" s="9" t="inlineStr">
        <is>
          <t>(423) 326-1406</t>
        </is>
      </c>
      <c r="F193" s="9" t="inlineStr">
        <is>
          <t>Ooltewah</t>
        </is>
      </c>
      <c r="G193" s="9" t="n"/>
      <c r="H193" s="9" t="inlineStr">
        <is>
          <t>37363</t>
        </is>
      </c>
      <c r="I193" s="9" t="n"/>
      <c r="J193" s="9" t="inlineStr">
        <is>
          <t>servprochattanooga.com</t>
        </is>
      </c>
      <c r="K193" s="10" t="n"/>
      <c r="L193" s="10" t="n"/>
      <c r="M193" s="10" t="n"/>
      <c r="N193" s="10" t="n"/>
      <c r="O193" s="9" t="inlineStr">
        <is>
          <t>OFFICIAL SITE 2026-09-04: phone (423) 326-1406 RE-CONFIRMED on servprochattanooga.com. PHONES ANSWERED 24/7 on their own account, covering Chattanooga, Red Bank, Soddy-Daisy, Hixson, Harrison, Ooltewah and Tyner - water, fire, storm and mould work plus biohazard cleaning, which is emergency call-out driving at all hours. That is the profile that pays for mobile glass service. Their site still does not print a street address, so the record's 9028 Jetrail Drive stays off. See also the Team Cuthbertson record - same operation.</t>
        </is>
      </c>
    </row>
    <row r="194">
      <c r="A194" s="7" t="inlineStr">
        <is>
          <t>A</t>
        </is>
      </c>
      <c r="B194" s="9" t="inlineStr">
        <is>
          <t>Confirmed on company site</t>
        </is>
      </c>
      <c r="C194" s="9" t="inlineStr">
        <is>
          <t>Signal Pest Control (Signal Mountain Pest Control)</t>
        </is>
      </c>
      <c r="D194" s="9" t="inlineStr">
        <is>
          <t>Pest Control</t>
        </is>
      </c>
      <c r="E194" s="9" t="inlineStr">
        <is>
          <t>(423) 498-4840</t>
        </is>
      </c>
      <c r="F194" s="9" t="inlineStr">
        <is>
          <t>Signal Mountain</t>
        </is>
      </c>
      <c r="G194" s="9" t="inlineStr">
        <is>
          <t>54 Miller Cove Rd</t>
        </is>
      </c>
      <c r="H194" s="9" t="inlineStr">
        <is>
          <t>37377</t>
        </is>
      </c>
      <c r="I194" s="9" t="inlineStr">
        <is>
          <t>info@signalpest.com</t>
        </is>
      </c>
      <c r="J194" s="9" t="inlineStr">
        <is>
          <t>signalmountainpestcontrol.com</t>
        </is>
      </c>
      <c r="K194" s="10" t="n"/>
      <c r="L194" s="10" t="n"/>
      <c r="M194" s="10" t="n"/>
      <c r="N194" s="10" t="n"/>
      <c r="O194" s="9" t="inlineStr">
        <is>
          <t>OFFICIAL SITE 2026-09-04: phone (423) 498-4840 RE-CONFIRMED - they run it in their own page titles. Family owned and owner-operated, 40+ years, licensed bonded and insured, with a commercial/industrial division serving offices through to warehouses across TN and North Georgia. CAUTION STANDS: they publish no street address, so the 54 Miller Cove Rd on file remains unverified. Route trucks.</t>
        </is>
      </c>
    </row>
    <row r="195">
      <c r="A195" s="7" t="inlineStr">
        <is>
          <t>A</t>
        </is>
      </c>
      <c r="B195" s="9" t="inlineStr">
        <is>
          <t>Confirmed on company site</t>
        </is>
      </c>
      <c r="C195" s="9" t="inlineStr">
        <is>
          <t>Skier's Marine – Chattanooga</t>
        </is>
      </c>
      <c r="D195" s="9" t="inlineStr">
        <is>
          <t>Boat Dealer / Marine Service</t>
        </is>
      </c>
      <c r="E195" s="9" t="inlineStr">
        <is>
          <t>(423) 680-7301</t>
        </is>
      </c>
      <c r="F195" s="9" t="inlineStr">
        <is>
          <t>Chattanooga</t>
        </is>
      </c>
      <c r="G195" s="9" t="inlineStr">
        <is>
          <t>4280 Bonny Oaks Dr</t>
        </is>
      </c>
      <c r="H195" s="9" t="inlineStr">
        <is>
          <t>37406</t>
        </is>
      </c>
      <c r="I195" s="9" t="n"/>
      <c r="J195" s="9" t="inlineStr">
        <is>
          <t>skiersmarine.com/locations/chattanooga-tn</t>
        </is>
      </c>
      <c r="K195" s="10" t="n"/>
      <c r="L195" s="10" t="n"/>
      <c r="M195" s="10" t="n"/>
      <c r="N195" s="10" t="n"/>
      <c r="O195" s="9" t="inlineStr">
        <is>
          <t>OFFICIAL SITE 2026-09-04: phone (423) 680-7301 RE-CONFIRMED on skiersmarine.com's own Chattanooga location page, address 4280 Bonny Oaks Dr 37406 confirmed. Hours Tue-Fri 8:30-17:30, Sat 8:30-16:00. MasterCraft, Moomba and Premier Pontoons dealer with an on-site service operation - tow vehicles and trailers.</t>
        </is>
      </c>
    </row>
    <row r="196">
      <c r="A196" s="7" t="inlineStr">
        <is>
          <t>A</t>
        </is>
      </c>
      <c r="B196" s="9" t="inlineStr">
        <is>
          <t>Confirmed on company site</t>
        </is>
      </c>
      <c r="C196" s="9" t="inlineStr">
        <is>
          <t>Soddy Daisy MountainView Heating &amp; Cooling</t>
        </is>
      </c>
      <c r="D196" s="9" t="inlineStr">
        <is>
          <t>HVAC Contractor</t>
        </is>
      </c>
      <c r="E196" s="9" t="inlineStr">
        <is>
          <t>(423) 520-8099</t>
        </is>
      </c>
      <c r="F196" s="9" t="inlineStr">
        <is>
          <t>Soddy-Daisy</t>
        </is>
      </c>
      <c r="G196" s="9" t="inlineStr">
        <is>
          <t>122 Harrison Ln</t>
        </is>
      </c>
      <c r="H196" s="9" t="inlineStr">
        <is>
          <t>37379</t>
        </is>
      </c>
      <c r="I196" s="9" t="n"/>
      <c r="J196" s="9" t="inlineStr">
        <is>
          <t>soddydaisymountainviewheatingcooling.com</t>
        </is>
      </c>
      <c r="K196" s="10" t="n"/>
      <c r="L196" s="10" t="n"/>
      <c r="M196" s="10" t="n"/>
      <c r="N196" s="10" t="n"/>
      <c r="O196" s="9" t="inlineStr">
        <is>
          <t>OFFICIAL SITE 2026-09-04: phone (423) 520-8099 RE-CONFIRMED, 24/7 emergency HVAC service. CAUTION STANDS: they still publish no street address or email, so the 122 Harrison Ln on file has no source - see also row 301, which claims 124 Harrison Ln for a business their own site places in Dayton. Two consecutive house numbers on one Soddy-Daisy lane, neither published by the business, is worth a second look before either is trusted.</t>
        </is>
      </c>
    </row>
    <row r="197">
      <c r="A197" s="7" t="inlineStr">
        <is>
          <t>A</t>
        </is>
      </c>
      <c r="B197" s="9" t="inlineStr">
        <is>
          <t>Confirmed on company site</t>
        </is>
      </c>
      <c r="C197" s="9" t="inlineStr">
        <is>
          <t>Southeast Painters, Inc.</t>
        </is>
      </c>
      <c r="D197" s="9" t="inlineStr">
        <is>
          <t>Commercial &amp; Industrial Painting</t>
        </is>
      </c>
      <c r="E197" s="9" t="inlineStr">
        <is>
          <t>(423) 558-3842</t>
        </is>
      </c>
      <c r="F197" s="9" t="inlineStr">
        <is>
          <t>Chattanooga</t>
        </is>
      </c>
      <c r="G197" s="9" t="inlineStr">
        <is>
          <t>3535 St Elmo Avenue</t>
        </is>
      </c>
      <c r="H197" s="9" t="inlineStr">
        <is>
          <t>37409</t>
        </is>
      </c>
      <c r="I197" s="9" t="inlineStr">
        <is>
          <t>info@southeastpainters.com</t>
        </is>
      </c>
      <c r="J197" s="9" t="inlineStr">
        <is>
          <t>southeastpainters.com</t>
        </is>
      </c>
      <c r="K197" s="10" t="n"/>
      <c r="L197" s="10" t="n"/>
      <c r="M197" s="10" t="n"/>
      <c r="N197" s="10" t="n"/>
      <c r="O197" s="9" t="inlineStr">
        <is>
          <t>OFFICIAL SITE 2026-09-04: phone (423) 558-3842, address 3535 St. Elmo Avenue 37409 and info@southeastpainters.com ALL RE-CONFIRMED. Founded 1990, commercial and industrial painting across Chattanooga and the southeast region. Their case studies name the work: BUC-EE'S and East Brainerd Elementary - big-site jobs needing spray rigs and lift trailers. They publish a LEADERSHIP TEAM page with individual profiles (Troy Ballard among them), so you can ask for someone by name.</t>
        </is>
      </c>
    </row>
    <row r="198">
      <c r="A198" s="7" t="inlineStr">
        <is>
          <t>A</t>
        </is>
      </c>
      <c r="B198" s="9" t="inlineStr">
        <is>
          <t>Confirmed on company site</t>
        </is>
      </c>
      <c r="C198" s="9" t="inlineStr">
        <is>
          <t>Southern Adventist University – Plant Services / Transportation</t>
        </is>
      </c>
      <c r="D198" s="9" t="inlineStr">
        <is>
          <t>Higher Education – Facilities &amp; Fleet Operations</t>
        </is>
      </c>
      <c r="E198" s="9" t="inlineStr">
        <is>
          <t>(423) 236-2716</t>
        </is>
      </c>
      <c r="F198" s="9" t="inlineStr">
        <is>
          <t>Collegedale</t>
        </is>
      </c>
      <c r="G198" s="9" t="inlineStr">
        <is>
          <t>10035 Park Ln</t>
        </is>
      </c>
      <c r="H198" s="9" t="inlineStr">
        <is>
          <t>37315</t>
        </is>
      </c>
      <c r="I198" s="9" t="inlineStr">
        <is>
          <t>transportation@southern.edu</t>
        </is>
      </c>
      <c r="J198" s="9" t="inlineStr">
        <is>
          <t>southern.edu/administration/plant-services</t>
        </is>
      </c>
      <c r="K198" s="10" t="n"/>
      <c r="L198" s="10" t="n"/>
      <c r="M198" s="10" t="n"/>
      <c r="N198" s="10" t="n"/>
      <c r="O198" s="9" t="inlineStr">
        <is>
          <t>OFFICIAL SITE 2026-09-04: Transportation Services (423) 236-2716 RE-CONFIRMED at Park Lane with transportation@southern.edu - the 09-03 correction away from the 423-236-2000 switchboard holds, and this is the right desk. SECOND DEPARTMENT LINE: Plant Services, also at Park Lane, is (423) 236-2291 - the row covers both, so try Transportation first for the vehicle fleet and Plant Services for buildings and grounds equipment. A university fleet is one of the larger single-owner fleets in the county.</t>
        </is>
      </c>
    </row>
    <row r="199">
      <c r="A199" s="7" t="inlineStr">
        <is>
          <t>A</t>
        </is>
      </c>
      <c r="B199" s="9" t="inlineStr">
        <is>
          <t>Confirmed on company site</t>
        </is>
      </c>
      <c r="C199" s="9" t="inlineStr">
        <is>
          <t>Spears Hopkins Paving Co</t>
        </is>
      </c>
      <c r="D199" s="9" t="inlineStr">
        <is>
          <t>Asphalt Paving Contractor</t>
        </is>
      </c>
      <c r="E199" s="9" t="inlineStr">
        <is>
          <t>(423) 674-3947</t>
        </is>
      </c>
      <c r="F199" s="9" t="inlineStr">
        <is>
          <t>Chattanooga</t>
        </is>
      </c>
      <c r="G199" s="9" t="inlineStr">
        <is>
          <t>5730 Fisk Avenue</t>
        </is>
      </c>
      <c r="H199" s="9" t="inlineStr">
        <is>
          <t>37421</t>
        </is>
      </c>
      <c r="I199" s="9" t="inlineStr">
        <is>
          <t>admin@spearshopkins.com</t>
        </is>
      </c>
      <c r="J199" s="9" t="inlineStr">
        <is>
          <t>spearshopkins.com</t>
        </is>
      </c>
      <c r="K199" s="10" t="n"/>
      <c r="L199" s="10" t="n"/>
      <c r="M199" s="10" t="n"/>
      <c r="N199" s="10" t="n"/>
      <c r="O199" s="9" t="inlineStr">
        <is>
          <t>OFFICIAL SITE 2026-09-04: phone (423) 674-3947, address 5730 Fisk Ave 37421 and admin@spearshopkins.com ALL RE-CONFIRMED. Commercial, municipal and residential asphalt across the southeast: new construction, overlays, FULL-DEPTH RECLAMATION and pervious pavement - reclamation means milling machines and haul trucks working torn-up lots, which is where windscreens go. drew@spearshopkins.com remains the direct route past the admin box.</t>
        </is>
      </c>
    </row>
    <row r="200">
      <c r="A200" s="7" t="inlineStr">
        <is>
          <t>A</t>
        </is>
      </c>
      <c r="B200" s="9" t="inlineStr">
        <is>
          <t>Confirmed on company site</t>
        </is>
      </c>
      <c r="C200" s="9" t="inlineStr">
        <is>
          <t>Stock'd Supply (BlackHawk Industrial)</t>
        </is>
      </c>
      <c r="D200" s="9" t="inlineStr">
        <is>
          <t>Industrial Supply / MRO Distributor</t>
        </is>
      </c>
      <c r="E200" s="9" t="inlineStr">
        <is>
          <t>(800) 678-1576</t>
        </is>
      </c>
      <c r="F200" s="9" t="inlineStr">
        <is>
          <t>Chattanooga</t>
        </is>
      </c>
      <c r="G200" s="9" t="inlineStr">
        <is>
          <t>4191 S Creek Rd</t>
        </is>
      </c>
      <c r="H200" s="9" t="inlineStr">
        <is>
          <t>37406</t>
        </is>
      </c>
      <c r="I200" s="9" t="inlineStr">
        <is>
          <t>support@stockdsupply.com</t>
        </is>
      </c>
      <c r="J200" s="9" t="inlineStr">
        <is>
          <t>stockdsupply.com</t>
        </is>
      </c>
      <c r="K200" s="10" t="n"/>
      <c r="L200" s="10" t="n"/>
      <c r="M200" s="10" t="n"/>
      <c r="N200" s="10" t="n"/>
      <c r="O200" s="9" t="inlineStr">
        <is>
          <t>OFFICIAL SITE 2026-09-04: phone (800) 678-1576 RE-CONFIRMED on stockdsupply.com's own locations page for 4191 S Creek Rd 37406 - the 09-03 correction holds. MRO distributor here since 1979 (formerly Bolts &amp; Nuts Corp), now part of BlackHawk Industrial; they run their own delivery vans. Only a toll-free number is published, so ask for the Chattanooga branch when you call.</t>
        </is>
      </c>
    </row>
    <row r="201">
      <c r="A201" s="7" t="inlineStr">
        <is>
          <t>A</t>
        </is>
      </c>
      <c r="B201" s="9" t="inlineStr">
        <is>
          <t>Confirmed on company site</t>
        </is>
      </c>
      <c r="C201" s="9" t="inlineStr">
        <is>
          <t>Sunbelt Rentals</t>
        </is>
      </c>
      <c r="D201" s="9" t="inlineStr">
        <is>
          <t>Equipment Rental</t>
        </is>
      </c>
      <c r="E201" s="9" t="inlineStr">
        <is>
          <t>(423) 893-0521</t>
        </is>
      </c>
      <c r="F201" s="9" t="inlineStr">
        <is>
          <t>Chattanooga</t>
        </is>
      </c>
      <c r="G201" s="9" t="inlineStr">
        <is>
          <t>4075 S Access Rd</t>
        </is>
      </c>
      <c r="H201" s="9" t="inlineStr">
        <is>
          <t>37406</t>
        </is>
      </c>
      <c r="I201" s="9" t="n"/>
      <c r="J201" s="9" t="inlineStr">
        <is>
          <t>sunbeltrentals.com</t>
        </is>
      </c>
      <c r="K201" s="10" t="n"/>
      <c r="L201" s="10" t="n"/>
      <c r="M201" s="10" t="n"/>
      <c r="N201" s="10" t="n"/>
      <c r="O201" s="9" t="inlineStr">
        <is>
          <t>OFFICIAL SITE: phone (423) 893-0521 and 4075 S Access Rd RE-CONFIRMED EXACTLY 2026-09-04 (branch 260). Open Mon-Fri 7:00-17:00, closed weekends. Rents aerial platforms, forklifts, earth-moving and more, so their own delivery trucks and yard equipment plus the rental fleet all carry glass.</t>
        </is>
      </c>
    </row>
    <row r="202">
      <c r="A202" s="7" t="inlineStr">
        <is>
          <t>A</t>
        </is>
      </c>
      <c r="B202" s="9" t="inlineStr">
        <is>
          <t>Confirmed on company site</t>
        </is>
      </c>
      <c r="C202" s="9" t="inlineStr">
        <is>
          <t>Superior Fence &amp; Rail of Chattanooga</t>
        </is>
      </c>
      <c r="D202" s="9" t="inlineStr">
        <is>
          <t>Fence &amp; Rail Installation</t>
        </is>
      </c>
      <c r="E202" s="9" t="inlineStr">
        <is>
          <t>(423) 443-4833</t>
        </is>
      </c>
      <c r="F202" s="9" t="inlineStr">
        <is>
          <t>Chattanooga</t>
        </is>
      </c>
      <c r="G202" s="9" t="n"/>
      <c r="H202" s="9" t="inlineStr">
        <is>
          <t>37406</t>
        </is>
      </c>
      <c r="I202" s="9" t="n"/>
      <c r="J202" s="9" t="inlineStr">
        <is>
          <t>superiorfenceandrail.com/chattanooga</t>
        </is>
      </c>
      <c r="K202" s="10" t="n"/>
      <c r="L202" s="10" t="n"/>
      <c r="M202" s="10" t="n"/>
      <c r="N202" s="10" t="n"/>
      <c r="O202" s="9" t="inlineStr">
        <is>
          <t>OFFICIAL SITE 2026-09-04: phone (423) 443-4833 RE-CONFIRMED - they run it in the title of every one of their Chattanooga pages. THE SERVICE AREA IS WIDER THAN THE EARLIER NOTE'S THREE TOWNS: their own town pages cover Chattanooga, Cleveland, Harrison, Signal Mountain, Ringgold, Dunlap AND Dalton GA - fence crews hauling posts, panels and augers on trailers across two states. 20+ years. Still no street address or email published, so the record's 900 Creekside Road stays off; ask when you call.</t>
        </is>
      </c>
    </row>
    <row r="203">
      <c r="A203" s="7" t="inlineStr">
        <is>
          <t>A</t>
        </is>
      </c>
      <c r="B203" s="9" t="inlineStr">
        <is>
          <t>Confirmed on company site</t>
        </is>
      </c>
      <c r="C203" s="9" t="inlineStr">
        <is>
          <t>SWOPE EQUIPMENT &amp; SUPPLY COMPANY, INC.</t>
        </is>
      </c>
      <c r="D203" s="9" t="inlineStr">
        <is>
          <t>Equipment Rental &amp; Construction Supply</t>
        </is>
      </c>
      <c r="E203" s="9" t="inlineStr">
        <is>
          <t>(423) 266-5681</t>
        </is>
      </c>
      <c r="F203" s="9" t="inlineStr">
        <is>
          <t>Chattanooga</t>
        </is>
      </c>
      <c r="G203" s="9" t="inlineStr">
        <is>
          <t>3000 Alton Park Boulevard</t>
        </is>
      </c>
      <c r="H203" s="9" t="inlineStr">
        <is>
          <t>37410</t>
        </is>
      </c>
      <c r="I203" s="9" t="inlineStr">
        <is>
          <t>rentit@swopeequipment.com</t>
        </is>
      </c>
      <c r="J203" s="9" t="inlineStr">
        <is>
          <t>swopeequipment.com</t>
        </is>
      </c>
      <c r="K203" s="10" t="n"/>
      <c r="L203" s="10" t="n"/>
      <c r="M203" s="10" t="n"/>
      <c r="N203" s="10" t="n"/>
      <c r="O203" s="9" t="inlineStr">
        <is>
          <t>OFFICIAL SITE 2026-09-04: phone (423) 266-5681, address 3000 Alton Park Blvd 37410 and rentit@swopeequipment.com ALL RE-CONFIRMED; hours Mon-Fri 8:00-17:00. Rental equipment, attachments and parts, steel tubing and custom hydraulic hoses - lowboys and flatbeds delivering and collecting machines all day, and they see every contractor in town, so a customer AND a referral source. CAUTION STANDS AND IS STILL LIVE: the injected spam pages under swopeequipment.com/jsnly8tg/ are still being served, so the site remains partly compromised - the real pages and contact details are intact, but do not judge them by a stray search result.</t>
        </is>
      </c>
    </row>
    <row r="204">
      <c r="A204" s="7" t="inlineStr">
        <is>
          <t>A</t>
        </is>
      </c>
      <c r="B204" s="9" t="inlineStr">
        <is>
          <t>Confirmed on company site</t>
        </is>
      </c>
      <c r="C204" s="9" t="inlineStr">
        <is>
          <t>T.U. Parks Construction Company</t>
        </is>
      </c>
      <c r="D204" s="9" t="inlineStr">
        <is>
          <t>Commercial General Contractor</t>
        </is>
      </c>
      <c r="E204" s="9" t="inlineStr">
        <is>
          <t>(423) 648-3800</t>
        </is>
      </c>
      <c r="F204" s="9" t="inlineStr">
        <is>
          <t>Chattanooga</t>
        </is>
      </c>
      <c r="G204" s="9" t="inlineStr">
        <is>
          <t>1207 East 23rd Street</t>
        </is>
      </c>
      <c r="H204" s="9" t="inlineStr">
        <is>
          <t>37408</t>
        </is>
      </c>
      <c r="I204" s="9" t="n"/>
      <c r="J204" s="9" t="inlineStr">
        <is>
          <t>tuparks.com</t>
        </is>
      </c>
      <c r="K204" s="10" t="n"/>
      <c r="L204" s="10" t="n"/>
      <c r="M204" s="10" t="n"/>
      <c r="N204" s="10" t="n"/>
      <c r="O204" s="9" t="inlineStr">
        <is>
          <t>OFFICIAL SITE 2026-09-04: phone (423) 648-3800 and address 1207 E 23rd Street 37408 RE-CONFIRMED - so the 09-03 call to drop the record's 711 East Main Street holds; fax (423) 756-2626. NAMED PEOPLE PUBLISHED, and they are not the ones in the earlier note: their site gives individual pages to JASON HICKEY and EDWARD MARSHALL. Ask for one of them rather than Robert or Larry Parks, which this pass could not confirm. Commercial GC with a residential portfolio category too. No email published.</t>
        </is>
      </c>
    </row>
    <row r="205">
      <c r="A205" s="7" t="inlineStr">
        <is>
          <t>A</t>
        </is>
      </c>
      <c r="B205" s="9" t="inlineStr">
        <is>
          <t>Confirmed on company site</t>
        </is>
      </c>
      <c r="C205" s="9" t="inlineStr">
        <is>
          <t>Tennessee Crown Distributing Co.</t>
        </is>
      </c>
      <c r="D205" s="9" t="inlineStr">
        <is>
          <t>Beverage Distribution</t>
        </is>
      </c>
      <c r="E205" s="9" t="inlineStr">
        <is>
          <t>(423) 629-7121</t>
        </is>
      </c>
      <c r="F205" s="9" t="inlineStr">
        <is>
          <t>Chattanooga</t>
        </is>
      </c>
      <c r="G205" s="9" t="inlineStr">
        <is>
          <t>3875 N Hawthorne St</t>
        </is>
      </c>
      <c r="H205" s="9" t="inlineStr">
        <is>
          <t>37406</t>
        </is>
      </c>
      <c r="I205" s="9" t="inlineStr">
        <is>
          <t>TCummings@tennesseecrown.com</t>
        </is>
      </c>
      <c r="J205" s="9" t="inlineStr">
        <is>
          <t>tennesseecrown.com</t>
        </is>
      </c>
      <c r="K205" s="10" t="n"/>
      <c r="L205" s="10" t="n"/>
      <c r="M205" s="10" t="n"/>
      <c r="N205" s="10" t="n"/>
      <c r="O205" s="9" t="inlineStr">
        <is>
          <t>OFFICIAL SITE: phone (423) 629-7121 and 3875 N Hawthorne St RE-CONFIRMED 2026-09-04. Toll-free 800-982-0817, mailing PO Box 5068. NAMED CONTACT: Thomas Cummings, General Manager. Beer, wine and spirits distributor - a full route fleet of delivery trucks.</t>
        </is>
      </c>
    </row>
    <row r="206">
      <c r="A206" s="7" t="inlineStr">
        <is>
          <t>A</t>
        </is>
      </c>
      <c r="B206" s="9" t="inlineStr">
        <is>
          <t>Confirmed on company site</t>
        </is>
      </c>
      <c r="C206" s="9" t="inlineStr">
        <is>
          <t>Tennessee Roofing &amp; Construction, Inc. (TRC)</t>
        </is>
      </c>
      <c r="D206" s="9" t="inlineStr">
        <is>
          <t>Commercial Roofing / General Contractor</t>
        </is>
      </c>
      <c r="E206" s="9" t="inlineStr">
        <is>
          <t>(423) 842-8826</t>
        </is>
      </c>
      <c r="F206" s="9" t="inlineStr">
        <is>
          <t>Hixson</t>
        </is>
      </c>
      <c r="G206" s="9" t="inlineStr">
        <is>
          <t>8427 Hixson Pike</t>
        </is>
      </c>
      <c r="H206" s="9" t="inlineStr">
        <is>
          <t>37343</t>
        </is>
      </c>
      <c r="I206" s="9" t="n"/>
      <c r="J206" s="9" t="inlineStr">
        <is>
          <t>tnroofingconstruction.com</t>
        </is>
      </c>
      <c r="K206" s="10" t="n"/>
      <c r="L206" s="10" t="n"/>
      <c r="M206" s="10" t="n"/>
      <c r="N206" s="10" t="n"/>
      <c r="O206" s="9" t="inlineStr">
        <is>
          <t>OFFICIAL SITE 2026-09-04: phone (423) 842-8826 RE-CONFIRMED on tnroofingconstruction.com. Family owned, commercial roofing and general contracting across Tennessee, north Georgia and northern Alabama, with a dedicated Hixson commercial page and coverage out to Cleveland, Dayton, Dunlap, Knoxville, Kimball and South Pittsburg - long hauls between job sites. CAUTION STANDS: the 8427 Hixson Pike address is from the Vibe dataset, not their site; confirm on the call.</t>
        </is>
      </c>
    </row>
    <row r="207">
      <c r="A207" s="7" t="inlineStr">
        <is>
          <t>A</t>
        </is>
      </c>
      <c r="B207" s="9" t="inlineStr">
        <is>
          <t>Confirmed on company site</t>
        </is>
      </c>
      <c r="C207" s="9" t="inlineStr">
        <is>
          <t>TENNESSEE WASTE HAULERS LLC</t>
        </is>
      </c>
      <c r="D207" s="9" t="inlineStr">
        <is>
          <t>Waste Hauling &amp; Dumpster Rental</t>
        </is>
      </c>
      <c r="E207" s="9" t="inlineStr">
        <is>
          <t>(423) 664-7000</t>
        </is>
      </c>
      <c r="F207" s="9" t="inlineStr">
        <is>
          <t>Chattanooga</t>
        </is>
      </c>
      <c r="G207" s="9" t="inlineStr">
        <is>
          <t>1369 Wisdom Street</t>
        </is>
      </c>
      <c r="H207" s="9" t="inlineStr">
        <is>
          <t>37406</t>
        </is>
      </c>
      <c r="I207" s="9" t="n"/>
      <c r="J207" s="9" t="inlineStr">
        <is>
          <t>tennesseewastehaulers.com</t>
        </is>
      </c>
      <c r="K207" s="10" t="n"/>
      <c r="L207" s="10" t="n"/>
      <c r="M207" s="10" t="n"/>
      <c r="N207" s="10" t="n"/>
      <c r="O207" s="9" t="inlineStr">
        <is>
          <t>OFFICIAL SITE 2026-09-04: phone (423) 664-7000 and address 1369 Wisdom St 37406 RE-CONFIRMED - the street address the 09-03 pass took from their site over the record's PO Box holds. Hours Mon-Fri 7:30-17:00, SAT 8:00-13:00, so a six-day operation. Residential, commercial and INDUSTRIAL dumpsters and waste disposal, with service-area pages for Hixson and Collegedale - roll-off trucks dropping and collecting on construction sites, constant gravel and constant chips. No email published.</t>
        </is>
      </c>
    </row>
    <row r="208">
      <c r="A208" s="7" t="inlineStr">
        <is>
          <t>A</t>
        </is>
      </c>
      <c r="B208" s="9" t="inlineStr">
        <is>
          <t>Confirmed on company site</t>
        </is>
      </c>
      <c r="C208" s="9" t="inlineStr">
        <is>
          <t>Terracon Consultants Inc.</t>
        </is>
      </c>
      <c r="D208" s="9" t="inlineStr">
        <is>
          <t>Environmental / Geotechnical Testing</t>
        </is>
      </c>
      <c r="E208" s="9" t="inlineStr">
        <is>
          <t>(423) 499-6111</t>
        </is>
      </c>
      <c r="F208" s="9" t="inlineStr">
        <is>
          <t>Chattanooga</t>
        </is>
      </c>
      <c r="G208" s="9" t="inlineStr">
        <is>
          <t>51 Lost Mound Dr Ste 135</t>
        </is>
      </c>
      <c r="H208" s="9" t="inlineStr">
        <is>
          <t>37406</t>
        </is>
      </c>
      <c r="I208" s="9" t="n"/>
      <c r="J208" s="9" t="inlineStr">
        <is>
          <t>terracon.com/offices/chattanooga</t>
        </is>
      </c>
      <c r="K208" s="10" t="n"/>
      <c r="L208" s="10" t="n"/>
      <c r="M208" s="10" t="n"/>
      <c r="N208" s="10" t="n"/>
      <c r="O208" s="9" t="inlineStr">
        <is>
          <t>OFFICIAL SITE 2026-09-04: phone (423) 499-6111 RE-CONFIRMED on terracon.com's own Chattanooga office page, address 51 Lost Mound Dr Ste 135 37406 confirmed. Same shape of prospect as Geosyntec - drill rigs and field trucks out of this office.</t>
        </is>
      </c>
    </row>
    <row r="209">
      <c r="A209" s="7" t="inlineStr">
        <is>
          <t>A</t>
        </is>
      </c>
      <c r="B209" s="9" t="inlineStr">
        <is>
          <t>Confirmed on company site</t>
        </is>
      </c>
      <c r="C209" s="9" t="inlineStr">
        <is>
          <t>The Grounds Guys Landscape Management</t>
        </is>
      </c>
      <c r="D209" s="9" t="inlineStr">
        <is>
          <t>Landscaping &amp; Lawn Care</t>
        </is>
      </c>
      <c r="E209" s="9" t="inlineStr">
        <is>
          <t>(423) 328-8974</t>
        </is>
      </c>
      <c r="F209" s="9" t="inlineStr">
        <is>
          <t>Chattanooga</t>
        </is>
      </c>
      <c r="G209" s="9" t="n"/>
      <c r="H209" s="9" t="inlineStr">
        <is>
          <t>37410</t>
        </is>
      </c>
      <c r="I209" s="9" t="n"/>
      <c r="J209" s="9" t="inlineStr">
        <is>
          <t>groundsguys.com/chattanooga</t>
        </is>
      </c>
      <c r="K209" s="10" t="n"/>
      <c r="L209" s="10" t="n"/>
      <c r="M209" s="10" t="n"/>
      <c r="N209" s="10" t="n"/>
      <c r="O209" s="9" t="inlineStr">
        <is>
          <t>OFFICIAL SITE 2026-09-04: phone (423) 328-8974 RE-CONFIRMED on the franchise's own Chattanooga pages. Routine landscape maintenance and full lawn care - mowing, trimming, fertilising, aerating, pruning, seasonal clean-up - plus HARDSCAPING (patios, walkways, retaining walls, fire features), drainage and landscape lighting. Hardscape work means hauling stone and materials, not just mower trailers, so more vehicle weight than a lawn-care row implies. Franchise pages still publish no street address or email, so the record's 164 West 31st Street stays off.</t>
        </is>
      </c>
    </row>
    <row r="210">
      <c r="A210" s="7" t="inlineStr">
        <is>
          <t>A</t>
        </is>
      </c>
      <c r="B210" s="9" t="inlineStr">
        <is>
          <t>Confirmed on company site</t>
        </is>
      </c>
      <c r="C210" s="9" t="inlineStr">
        <is>
          <t>Thomas Brothers Construction Company, Inc.</t>
        </is>
      </c>
      <c r="D210" s="9" t="inlineStr">
        <is>
          <t>Construction / Grading / Utilities</t>
        </is>
      </c>
      <c r="E210" s="9" t="inlineStr">
        <is>
          <t>(423) 842-6233</t>
        </is>
      </c>
      <c r="F210" s="9" t="inlineStr">
        <is>
          <t>Hixson</t>
        </is>
      </c>
      <c r="G210" s="9" t="inlineStr">
        <is>
          <t>7849 Dayton Pike</t>
        </is>
      </c>
      <c r="H210" s="9" t="inlineStr">
        <is>
          <t>37343</t>
        </is>
      </c>
      <c r="I210" s="9" t="inlineStr">
        <is>
          <t>info@tbccinc.net</t>
        </is>
      </c>
      <c r="J210" s="9" t="inlineStr">
        <is>
          <t>tbccinc.net</t>
        </is>
      </c>
      <c r="K210" s="10" t="n"/>
      <c r="L210" s="10" t="n"/>
      <c r="M210" s="10" t="n"/>
      <c r="N210" s="10" t="n"/>
      <c r="O210" s="9" t="inlineStr">
        <is>
          <t>OFFICIAL SITE 2026-09-04: phone (423) 842-6233 and address 7849 Dayton Pike, Hixson 37343 RE-CONFIRMED on tbccinc.net's own contact page - this replaces the business-run page the 09-03 pass had to rely on. EMAIL FOUND where the row had none: info@tbccinc.net. Fax (423) 842-5019. Serving Hixson and southeast Tennessee for 60+ years doing grading and utilities, and they sell topsoil and fill dirt - dump trucks and equipment carriers running daily.</t>
        </is>
      </c>
    </row>
    <row r="211">
      <c r="A211" s="7" t="inlineStr">
        <is>
          <t>A</t>
        </is>
      </c>
      <c r="B211" s="9" t="inlineStr">
        <is>
          <t>Confirmed on company site</t>
        </is>
      </c>
      <c r="C211" s="9" t="inlineStr">
        <is>
          <t>Thompson Truck Group</t>
        </is>
      </c>
      <c r="D211" s="9" t="inlineStr">
        <is>
          <t>Fleet/Commercial Truck Dealership</t>
        </is>
      </c>
      <c r="E211" s="9" t="inlineStr">
        <is>
          <t>(423) 622-4161</t>
        </is>
      </c>
      <c r="F211" s="9" t="inlineStr">
        <is>
          <t>Chattanooga</t>
        </is>
      </c>
      <c r="G211" s="9" t="inlineStr">
        <is>
          <t>2600 8th Avenue</t>
        </is>
      </c>
      <c r="H211" s="9" t="inlineStr">
        <is>
          <t>37407</t>
        </is>
      </c>
      <c r="I211" s="9" t="n"/>
      <c r="J211" s="9" t="inlineStr">
        <is>
          <t>thompsontruckgroup.com</t>
        </is>
      </c>
      <c r="K211" s="10" t="n"/>
      <c r="L211" s="10" t="n"/>
      <c r="M211" s="10" t="n"/>
      <c r="N211" s="10" t="n"/>
      <c r="O211" s="9" t="inlineStr">
        <is>
          <t>Phone re-checked 2026-09-04 against their own site - unchanged and correct. Two things worth knowing: they run a full paint and collision repair facility of their own, and they acquired Lee-Smith Inc, so their footprint here is bigger than it looks. 24/7 mobile service means their own trucks are out at all hours.</t>
        </is>
      </c>
    </row>
    <row r="212">
      <c r="A212" s="7" t="inlineStr">
        <is>
          <t>A</t>
        </is>
      </c>
      <c r="B212" s="9" t="inlineStr">
        <is>
          <t>Confirmed on company site</t>
        </is>
      </c>
      <c r="C212" s="9" t="inlineStr">
        <is>
          <t>THS Foodservice Inc.</t>
        </is>
      </c>
      <c r="D212" s="9" t="inlineStr">
        <is>
          <t>Food/Restaurant Supply Distribution</t>
        </is>
      </c>
      <c r="E212" s="9" t="inlineStr">
        <is>
          <t>(423) 267-3821</t>
        </is>
      </c>
      <c r="F212" s="9" t="inlineStr">
        <is>
          <t>Chattanooga</t>
        </is>
      </c>
      <c r="G212" s="9" t="inlineStr">
        <is>
          <t>801 E 12th St</t>
        </is>
      </c>
      <c r="H212" s="9" t="inlineStr">
        <is>
          <t>37403</t>
        </is>
      </c>
      <c r="I212" s="9" t="inlineStr">
        <is>
          <t>wedeliver@thsfs.com</t>
        </is>
      </c>
      <c r="J212" s="9" t="inlineStr">
        <is>
          <t>thsfs.com</t>
        </is>
      </c>
      <c r="K212" s="10" t="n"/>
      <c r="L212" s="10" t="n"/>
      <c r="M212" s="10" t="n"/>
      <c r="N212" s="10" t="n"/>
      <c r="O212" s="9" t="inlineStr">
        <is>
          <t>OFFICIAL SITE: phone (423) 267-3821 and 801 E 12th St RE-CONFIRMED EXACTLY 2026-09-04, and EMAIL FOUND (wedeliver@thsfs.com). Fax 423-756-7710. Restaurant supply and food distribution - a delivery-truck fleet on daily routes.</t>
        </is>
      </c>
    </row>
    <row r="213">
      <c r="A213" s="7" t="inlineStr">
        <is>
          <t>A</t>
        </is>
      </c>
      <c r="B213" s="9" t="inlineStr">
        <is>
          <t>Confirmed on company site</t>
        </is>
      </c>
      <c r="C213" s="9" t="inlineStr">
        <is>
          <t>Tire World &amp; Auto Service</t>
        </is>
      </c>
      <c r="D213" s="9" t="inlineStr">
        <is>
          <t>Tire Shop / Auto Repair</t>
        </is>
      </c>
      <c r="E213" s="9" t="inlineStr">
        <is>
          <t>(423) 266-5237</t>
        </is>
      </c>
      <c r="F213" s="9" t="inlineStr">
        <is>
          <t>Chattanooga</t>
        </is>
      </c>
      <c r="G213" s="9" t="inlineStr">
        <is>
          <t>245 Signal Mountain Rd</t>
        </is>
      </c>
      <c r="H213" s="9" t="inlineStr">
        <is>
          <t>37405</t>
        </is>
      </c>
      <c r="I213" s="9" t="n"/>
      <c r="J213" s="9" t="inlineStr">
        <is>
          <t>tireworldchattanooga.com</t>
        </is>
      </c>
      <c r="K213" s="10" t="n"/>
      <c r="L213" s="10" t="n"/>
      <c r="M213" s="10" t="n"/>
      <c r="N213" s="10" t="n"/>
      <c r="O213" s="9" t="inlineStr">
        <is>
          <t>OFFICIAL SITE: phone (423) 266-5237 RE-CONFIRMED 2026-09-04. Open Mon-Fri 7:30-17:00. Site says they serve Chattanooga and Red Bank. No email published.</t>
        </is>
      </c>
    </row>
    <row r="214">
      <c r="A214" s="7" t="inlineStr">
        <is>
          <t>A</t>
        </is>
      </c>
      <c r="B214" s="9" t="inlineStr">
        <is>
          <t>Confirmed on company site</t>
        </is>
      </c>
      <c r="C214" s="9" t="inlineStr">
        <is>
          <t>Tomahawk Crane &amp; Rigging</t>
        </is>
      </c>
      <c r="D214" s="9" t="inlineStr">
        <is>
          <t>Crane Rental / Rigging / Heavy Haul</t>
        </is>
      </c>
      <c r="E214" s="9" t="inlineStr">
        <is>
          <t>(423) 602-5438</t>
        </is>
      </c>
      <c r="F214" s="9" t="inlineStr">
        <is>
          <t>Chattanooga</t>
        </is>
      </c>
      <c r="G214" s="9" t="inlineStr">
        <is>
          <t>55 Workman Rd</t>
        </is>
      </c>
      <c r="H214" s="9" t="inlineStr">
        <is>
          <t>37410</t>
        </is>
      </c>
      <c r="I214" s="9" t="inlineStr">
        <is>
          <t>Nick@tcrcranes.com</t>
        </is>
      </c>
      <c r="J214" s="9" t="inlineStr">
        <is>
          <t>tomahawkcrane.com</t>
        </is>
      </c>
      <c r="K214" s="10" t="n"/>
      <c r="L214" s="10" t="n"/>
      <c r="M214" s="10" t="n"/>
      <c r="N214" s="10" t="n"/>
      <c r="O214" s="9" t="inlineStr">
        <is>
          <t>OFFICIAL SITE 2026-09-04: phone (423) 602-5438 RE-CONFIRMED, address 55 Workman Rd 37410 confirmed. MULTI-STATE, AND CHATTANOOGA LOOKS LIKE THE HQ: their own locations pages cover Mobile AL and Pensacola FL as branches, with this the home yard - so the fleet conversation here may cover more than one state. Cranes, rigging trucks and heavy-haul tractors. Nick@tcrcranes.com goes to a named person rather than a general box, so better odds of a reply.</t>
        </is>
      </c>
    </row>
    <row r="215">
      <c r="A215" s="7" t="inlineStr">
        <is>
          <t>A</t>
        </is>
      </c>
      <c r="B215" s="9" t="inlineStr">
        <is>
          <t>Confirmed on company site</t>
        </is>
      </c>
      <c r="C215" s="9" t="inlineStr">
        <is>
          <t>Tower Construction Co</t>
        </is>
      </c>
      <c r="D215" s="9" t="inlineStr">
        <is>
          <t>General Contractor</t>
        </is>
      </c>
      <c r="E215" s="9" t="inlineStr">
        <is>
          <t>(423) 629-2043</t>
        </is>
      </c>
      <c r="F215" s="9" t="inlineStr">
        <is>
          <t>Chattanooga</t>
        </is>
      </c>
      <c r="G215" s="9" t="inlineStr">
        <is>
          <t>2520 East 14th Street</t>
        </is>
      </c>
      <c r="H215" s="9" t="inlineStr">
        <is>
          <t>37404</t>
        </is>
      </c>
      <c r="I215" s="9" t="inlineStr">
        <is>
          <t>contact@towerconstructionco.com</t>
        </is>
      </c>
      <c r="J215" s="9" t="inlineStr">
        <is>
          <t>towerconstructionco.com</t>
        </is>
      </c>
      <c r="K215" s="10" t="n"/>
      <c r="L215" s="10" t="n"/>
      <c r="M215" s="10" t="n"/>
      <c r="N215" s="10" t="n"/>
      <c r="O215" s="9" t="inlineStr">
        <is>
          <t>OFFICIAL SITE 2026-09-04: phone (423) 629-2043, address 2520 E. 14th Street 37404 and contact@towerconstructionco.com ALL RE-CONFIRMED on their own contact page. Their own description: a medium-sized general contractor serving Chattanooga for MORE THAN 30 YEARS across both residential and commercial construction - crew trucks out daily. One of the cleaner full contact sets in this queue.</t>
        </is>
      </c>
    </row>
    <row r="216">
      <c r="A216" s="7" t="inlineStr">
        <is>
          <t>A</t>
        </is>
      </c>
      <c r="B216" s="9" t="inlineStr">
        <is>
          <t>Confirmed on company site</t>
        </is>
      </c>
      <c r="C216" s="9" t="inlineStr">
        <is>
          <t>Tree Worx LLC</t>
        </is>
      </c>
      <c r="D216" s="9" t="inlineStr">
        <is>
          <t>Tree Service / Arborist</t>
        </is>
      </c>
      <c r="E216" s="9" t="inlineStr">
        <is>
          <t>(423) 451-6388</t>
        </is>
      </c>
      <c r="F216" s="9" t="inlineStr">
        <is>
          <t>Chattanooga</t>
        </is>
      </c>
      <c r="G216" s="9" t="n"/>
      <c r="H216" s="9" t="n"/>
      <c r="I216" s="9" t="inlineStr">
        <is>
          <t>info@treeworxllc.com</t>
        </is>
      </c>
      <c r="J216" s="9" t="inlineStr">
        <is>
          <t>treeworxllc.com</t>
        </is>
      </c>
      <c r="K216" s="10" t="n"/>
      <c r="L216" s="10" t="n"/>
      <c r="M216" s="10" t="n"/>
      <c r="N216" s="10" t="n"/>
      <c r="O216" s="9" t="inlineStr">
        <is>
          <t>OFFICIAL SITE 2026-09-04: phone (423) 451-6388 RE-CONFIRMED on treeworxllc.com's own contact page. ISA Certified Arborists, 10+ years in Chattanooga, doing removal, trimming, pruning, planting, stump grinding and emergency work across Hixson, Signal Mountain and Lookout Mountain as well as the city. Still no street address published, so that line stays blank rather than guessed. Several trucks and chippers.</t>
        </is>
      </c>
    </row>
    <row r="217">
      <c r="A217" s="7" t="inlineStr">
        <is>
          <t>A</t>
        </is>
      </c>
      <c r="B217" s="9" t="inlineStr">
        <is>
          <t>Confirmed on company site</t>
        </is>
      </c>
      <c r="C217" s="9" t="inlineStr">
        <is>
          <t>Tri-State Roofing Contractors LLC</t>
        </is>
      </c>
      <c r="D217" s="9" t="inlineStr">
        <is>
          <t>Roofing (Commercial)</t>
        </is>
      </c>
      <c r="E217" s="9" t="inlineStr">
        <is>
          <t>(423) 803-4742</t>
        </is>
      </c>
      <c r="F217" s="9" t="inlineStr">
        <is>
          <t>Chattanooga</t>
        </is>
      </c>
      <c r="G217" s="9" t="inlineStr">
        <is>
          <t>460 Dodson Ave</t>
        </is>
      </c>
      <c r="H217" s="9" t="inlineStr">
        <is>
          <t>37404</t>
        </is>
      </c>
      <c r="I217" s="9" t="n"/>
      <c r="J217" s="9" t="inlineStr">
        <is>
          <t>tstateroofing.com</t>
        </is>
      </c>
      <c r="K217" s="10" t="n"/>
      <c r="L217" s="10" t="n"/>
      <c r="M217" s="10" t="n"/>
      <c r="N217" s="10" t="n"/>
      <c r="O217" s="9" t="inlineStr">
        <is>
          <t>OFFICIAL SITE: phone (423) 803-4742 RE-CONFIRMED 2026-09-04 - it is published in their contact page title. Commercial roofers running an emergency-response service, so their trucks are out in storm weather - exactly when glass gets broken.</t>
        </is>
      </c>
    </row>
    <row r="218">
      <c r="A218" s="7" t="inlineStr">
        <is>
          <t>A</t>
        </is>
      </c>
      <c r="B218" s="9" t="inlineStr">
        <is>
          <t>Confirmed on company site</t>
        </is>
      </c>
      <c r="C218" s="9" t="inlineStr">
        <is>
          <t>TriStar Beverage of Chattanooga (Hand Family Companies)</t>
        </is>
      </c>
      <c r="D218" s="9" t="inlineStr">
        <is>
          <t>Beverage Distribution</t>
        </is>
      </c>
      <c r="E218" s="9" t="inlineStr">
        <is>
          <t>(423) 332-5500</t>
        </is>
      </c>
      <c r="F218" s="9" t="inlineStr">
        <is>
          <t>Soddy-Daisy</t>
        </is>
      </c>
      <c r="G218" s="9" t="inlineStr">
        <is>
          <t>200 Shearer St</t>
        </is>
      </c>
      <c r="H218" s="9" t="inlineStr">
        <is>
          <t>37379</t>
        </is>
      </c>
      <c r="I218" s="9" t="inlineStr">
        <is>
          <t>TBcustomerservice@tristarbev.com</t>
        </is>
      </c>
      <c r="J218" s="9" t="inlineStr">
        <is>
          <t>handfamilycompanies.com</t>
        </is>
      </c>
      <c r="K218" s="10" t="n"/>
      <c r="L218" s="10" t="n"/>
      <c r="M218" s="10" t="n"/>
      <c r="N218" s="10" t="n"/>
      <c r="O218" s="9" t="inlineStr">
        <is>
          <t>OFFICIAL SITE: phone (423) 332-5500 and 200 Shearer St, Soddy-Daisy 37379 RE-CONFIRMED EXACTLY 2026-09-04, and EMAIL FOUND (TBcustomerservice@tristarbev.com). Part of Hand Family Companies, a multi-state beer and beverage distributor - the Chattanooga branch runs its own route trucks.</t>
        </is>
      </c>
    </row>
    <row r="219">
      <c r="A219" s="7" t="inlineStr">
        <is>
          <t>A</t>
        </is>
      </c>
      <c r="B219" s="9" t="inlineStr">
        <is>
          <t>Confirmed on company site</t>
        </is>
      </c>
      <c r="C219" s="9" t="inlineStr">
        <is>
          <t>Village Volkswagen of Chattanooga</t>
        </is>
      </c>
      <c r="D219" s="9" t="inlineStr">
        <is>
          <t>Auto Dealership</t>
        </is>
      </c>
      <c r="E219" s="9" t="inlineStr">
        <is>
          <t>(423) 664-9718</t>
        </is>
      </c>
      <c r="F219" s="9" t="inlineStr">
        <is>
          <t>Chattanooga</t>
        </is>
      </c>
      <c r="G219" s="9" t="inlineStr">
        <is>
          <t>6001 International Drive</t>
        </is>
      </c>
      <c r="H219" s="9" t="inlineStr">
        <is>
          <t>37421</t>
        </is>
      </c>
      <c r="I219" s="9" t="n"/>
      <c r="J219" s="9" t="inlineStr">
        <is>
          <t>villagevw.com</t>
        </is>
      </c>
      <c r="K219" s="10" t="n"/>
      <c r="L219" s="10" t="n"/>
      <c r="M219" s="10" t="n"/>
      <c r="N219" s="10" t="n"/>
      <c r="O219" s="9" t="inlineStr">
        <is>
          <t>Phone re-checked 2026-09-04 against their own site - unchanged and correct. For glass work go to service and parts on (423) 855-4981 rather than the sales line recorded here.</t>
        </is>
      </c>
    </row>
    <row r="220">
      <c r="A220" s="7" t="inlineStr">
        <is>
          <t>A</t>
        </is>
      </c>
      <c r="B220" s="9" t="inlineStr">
        <is>
          <t>Confirmed on company site</t>
        </is>
      </c>
      <c r="C220" s="9" t="inlineStr">
        <is>
          <t>Walden Security</t>
        </is>
      </c>
      <c r="D220" s="9" t="inlineStr">
        <is>
          <t>Security</t>
        </is>
      </c>
      <c r="E220" s="9" t="inlineStr">
        <is>
          <t>(423) 702-8200</t>
        </is>
      </c>
      <c r="F220" s="9" t="inlineStr">
        <is>
          <t>Chattanooga</t>
        </is>
      </c>
      <c r="G220" s="9" t="inlineStr">
        <is>
          <t>100 E 10th St</t>
        </is>
      </c>
      <c r="H220" s="9" t="inlineStr">
        <is>
          <t>37402</t>
        </is>
      </c>
      <c r="I220" s="9" t="inlineStr">
        <is>
          <t>info@waldensecurity.com</t>
        </is>
      </c>
      <c r="J220" s="9" t="inlineStr">
        <is>
          <t>waldensecurity.com</t>
        </is>
      </c>
      <c r="K220" s="10" t="n"/>
      <c r="L220" s="10" t="n"/>
      <c r="M220" s="10" t="n"/>
      <c r="N220" s="10" t="n"/>
      <c r="O220" s="9" t="inlineStr">
        <is>
          <t>OFFICIAL SITE 2026-09-04: waldensecurity.com publishes BOTH numbers for this address - 423.702.8200 and 800.846.4350. Chattanooga is their head office, so the local line is now primary and the toll-free 800-846-4350 is the fallback; the number on file was not wrong, just the national one. 100 E Tenth St 37402 and info@waldensecurity.com confirmed. Guard company with marked patrol vehicles across commercial and government contracts.</t>
        </is>
      </c>
    </row>
    <row r="221">
      <c r="A221" s="7" t="inlineStr">
        <is>
          <t>A</t>
        </is>
      </c>
      <c r="B221" s="9" t="inlineStr">
        <is>
          <t>Confirmed on company site</t>
        </is>
      </c>
      <c r="C221" s="9" t="inlineStr">
        <is>
          <t>WALDENS RIDGE UTILITY DISTRICT OF HAMILTON COUNTY INC</t>
        </is>
      </c>
      <c r="D221" s="9" t="inlineStr">
        <is>
          <t>Water Utility District</t>
        </is>
      </c>
      <c r="E221" s="9" t="inlineStr">
        <is>
          <t>(423) 886-2683</t>
        </is>
      </c>
      <c r="F221" s="9" t="inlineStr">
        <is>
          <t>Signal Mountain</t>
        </is>
      </c>
      <c r="G221" s="9" t="inlineStr">
        <is>
          <t>3900 Taft Highway</t>
        </is>
      </c>
      <c r="H221" s="9" t="inlineStr">
        <is>
          <t>37377</t>
        </is>
      </c>
      <c r="I221" s="9" t="n"/>
      <c r="J221" s="9" t="inlineStr">
        <is>
          <t>wrud.org</t>
        </is>
      </c>
      <c r="K221" s="10" t="n"/>
      <c r="L221" s="10" t="n"/>
      <c r="M221" s="10" t="n"/>
      <c r="N221" s="10" t="n"/>
      <c r="O221" s="9" t="inlineStr">
        <is>
          <t>OFFICIAL SITE 2026-09-04: phone (423) 886-2683 and address 3900 Taft Highway, Signal Mountain 37377 RE-CONFIRMED. HOURS ARE TIGHT: Mon-Fri 8:00-16:00 and CLOSED 12:00-13:00 for lunch, so time the call. THEY RUN TWO DISTRICTS, not one - the site is branded Walden's Ridge Utility District AND LONE OAK UTILITY DISTRICT, so the service trucks, meter readers and backhoe crews cover more ground than the row's name suggests. A public district buys on quotes rather than impulse. No email published.</t>
        </is>
      </c>
    </row>
    <row r="222">
      <c r="A222" s="7" t="inlineStr">
        <is>
          <t>A</t>
        </is>
      </c>
      <c r="B222" s="9" t="inlineStr">
        <is>
          <t>Confirmed on company site</t>
        </is>
      </c>
      <c r="C222" s="9" t="inlineStr">
        <is>
          <t>Weeks Paving Inc</t>
        </is>
      </c>
      <c r="D222" s="9" t="inlineStr">
        <is>
          <t>Asphalt Paving Contractor</t>
        </is>
      </c>
      <c r="E222" s="9" t="inlineStr">
        <is>
          <t>(423) 821-2669</t>
        </is>
      </c>
      <c r="F222" s="9" t="inlineStr">
        <is>
          <t>Chattanooga</t>
        </is>
      </c>
      <c r="G222" s="9" t="inlineStr">
        <is>
          <t>PO Box 2166</t>
        </is>
      </c>
      <c r="H222" s="9" t="inlineStr">
        <is>
          <t>37409</t>
        </is>
      </c>
      <c r="I222" s="9" t="inlineStr">
        <is>
          <t>info@weekspaving.com</t>
        </is>
      </c>
      <c r="J222" s="9" t="inlineStr">
        <is>
          <t>weekspaving.com</t>
        </is>
      </c>
      <c r="K222" s="10" t="n"/>
      <c r="L222" s="10" t="n"/>
      <c r="M222" s="10" t="n"/>
      <c r="N222" s="10" t="n"/>
      <c r="O222" s="9" t="inlineStr">
        <is>
          <t>OFFICIAL SITE 2026-09-04: phone (423) 821-2669 RE-CONFIRMED on weekspaving.com, and PO Box 2166, Chattanooga 37409 confirmed as the only address they publish - there is still no street address, so the yard location is unknown. New asphalt construction, overlays and pavement repair with a commercial project gallery. Dump trucks, rollers and crew trucks.</t>
        </is>
      </c>
    </row>
    <row r="223">
      <c r="A223" s="7" t="inlineStr">
        <is>
          <t>A</t>
        </is>
      </c>
      <c r="B223" s="9" t="inlineStr">
        <is>
          <t>Not phone re-checked</t>
        </is>
      </c>
      <c r="C223" s="9" t="inlineStr">
        <is>
          <t>AM PM Mobile Repair and Consulting</t>
        </is>
      </c>
      <c r="D223" s="9" t="inlineStr">
        <is>
          <t>Mobile Semi Truck &amp; Trailer Repair</t>
        </is>
      </c>
      <c r="E223" s="9" t="inlineStr">
        <is>
          <t>(423) 242-3690</t>
        </is>
      </c>
      <c r="F223" s="9" t="inlineStr">
        <is>
          <t>Chattanooga</t>
        </is>
      </c>
      <c r="G223" s="9" t="inlineStr">
        <is>
          <t>185 North Kelly Street</t>
        </is>
      </c>
      <c r="H223" s="9" t="n"/>
      <c r="I223" s="9" t="n"/>
      <c r="J223" s="9" t="inlineStr">
        <is>
          <t>ampmmobilerepair.com</t>
        </is>
      </c>
      <c r="K223" s="10" t="n"/>
      <c r="L223" s="10" t="n"/>
      <c r="M223" s="10" t="n"/>
      <c r="N223" s="10" t="n"/>
      <c r="O223" s="9" t="inlineStr">
        <is>
          <t>Gap-filled 2026-09-04. Veteran led, ASE certified diesel mechanics doing on-site fleet maintenance and emergency repairs in Ringgold GA, Chattanooga and Jacksonville FL. Still the strong referral angle: they are inside other people's fleets daily and see broken glass before anyone else.</t>
        </is>
      </c>
    </row>
    <row r="224">
      <c r="A224" s="7" t="inlineStr">
        <is>
          <t>A</t>
        </is>
      </c>
      <c r="B224" s="9" t="inlineStr">
        <is>
          <t>Not phone re-checked</t>
        </is>
      </c>
      <c r="C224" s="9" t="inlineStr">
        <is>
          <t>Atlantic Distributors Inc.</t>
        </is>
      </c>
      <c r="D224" s="9" t="inlineStr">
        <is>
          <t>Broadline Foodservice Distributor</t>
        </is>
      </c>
      <c r="E224" s="9" t="inlineStr">
        <is>
          <t>(423) 624-3066</t>
        </is>
      </c>
      <c r="F224" s="9" t="inlineStr">
        <is>
          <t>Chattanooga</t>
        </is>
      </c>
      <c r="G224" s="9" t="inlineStr">
        <is>
          <t>51 Lost Mound Drive Suite 125</t>
        </is>
      </c>
      <c r="H224" s="9" t="inlineStr">
        <is>
          <t>37406</t>
        </is>
      </c>
      <c r="I224" s="9" t="n"/>
      <c r="J224" s="9" t="inlineStr">
        <is>
          <t>aditn.com</t>
        </is>
      </c>
      <c r="K224" s="10" t="n"/>
      <c r="L224" s="10" t="n"/>
      <c r="M224" s="10" t="n"/>
      <c r="N224" s="10" t="n"/>
      <c r="O224" s="9" t="inlineStr">
        <is>
          <t>Gap-filled 2026-09-04. Broadline foodservice distribution means refrigerated delivery trucks on daily routes - a good fleet. Note their own site says Lost Mound Drive; older listings still show 4300 Amnicola Hwy, so they appear to have moved.</t>
        </is>
      </c>
    </row>
    <row r="225">
      <c r="A225" s="7" t="inlineStr">
        <is>
          <t>A</t>
        </is>
      </c>
      <c r="B225" s="9" t="inlineStr">
        <is>
          <t>Not phone re-checked</t>
        </is>
      </c>
      <c r="C225" s="9" t="inlineStr">
        <is>
          <t>BOBBY FRYAR TRUCKING CO., INC.</t>
        </is>
      </c>
      <c r="D225" s="9" t="inlineStr">
        <is>
          <t>Trucking</t>
        </is>
      </c>
      <c r="E225" s="9" t="inlineStr">
        <is>
          <t>(423) 867-8175</t>
        </is>
      </c>
      <c r="F225" s="9" t="inlineStr">
        <is>
          <t>Chattanooga</t>
        </is>
      </c>
      <c r="G225" s="9" t="inlineStr">
        <is>
          <t>1017 East 38th Street</t>
        </is>
      </c>
      <c r="H225" s="9" t="n"/>
      <c r="I225" s="9" t="n"/>
      <c r="J225" s="9" t="inlineStr">
        <is>
          <t>bobbyfryartrucking.com</t>
        </is>
      </c>
      <c r="K225" s="10" t="n"/>
      <c r="L225" s="10" t="n"/>
      <c r="M225" s="10" t="n"/>
      <c r="N225" s="10" t="n"/>
      <c r="O225" s="9" t="inlineStr">
        <is>
          <t>Gap-filled 2026-09-04 - the first pass could find no phone at all and left this row nearly empty. Dump truck haulage, sand and gravel: tipper trucks working quarries and construction sites, which is about the hardest life a windscreen gets. The low USDOT number confirms a long-established carrier. Website is from listings and not independently confirmed.</t>
        </is>
      </c>
    </row>
    <row r="226">
      <c r="A226" s="7" t="inlineStr">
        <is>
          <t>A</t>
        </is>
      </c>
      <c r="B226" s="9" t="inlineStr">
        <is>
          <t>Not phone re-checked</t>
        </is>
      </c>
      <c r="C226" s="9" t="inlineStr">
        <is>
          <t>BWY Transport Inc</t>
        </is>
      </c>
      <c r="D226" s="9" t="inlineStr">
        <is>
          <t>Truckload Carrier</t>
        </is>
      </c>
      <c r="E226" s="9" t="inlineStr">
        <is>
          <t>(423) 800-5993</t>
        </is>
      </c>
      <c r="F226" s="9" t="inlineStr">
        <is>
          <t>Chattanooga</t>
        </is>
      </c>
      <c r="G226" s="9" t="inlineStr">
        <is>
          <t>5600 Brainerd Road Suite B-28</t>
        </is>
      </c>
      <c r="H226" s="9" t="inlineStr">
        <is>
          <t>37411</t>
        </is>
      </c>
      <c r="I226" s="9" t="n"/>
      <c r="J226" s="9" t="inlineStr">
        <is>
          <t>bwytransportinc.com</t>
        </is>
      </c>
      <c r="K226" s="10" t="n"/>
      <c r="L226" s="10" t="n"/>
      <c r="M226" s="10" t="n"/>
      <c r="N226" s="10" t="n"/>
      <c r="O226" s="9" t="inlineStr">
        <is>
          <t>Gap-filled 2026-09-04. This is the carrier rescued from the bad 'U.S. Logistics Group' record, and it now has a number. Truckload carrier doing expedited and general freight - real tractors.</t>
        </is>
      </c>
    </row>
    <row r="227">
      <c r="A227" s="7" t="inlineStr">
        <is>
          <t>A</t>
        </is>
      </c>
      <c r="B227" s="9" t="inlineStr">
        <is>
          <t>Not phone re-checked</t>
        </is>
      </c>
      <c r="C227" s="9" t="inlineStr">
        <is>
          <t>Callahan Mechanical Contractors, Inc.</t>
        </is>
      </c>
      <c r="D227" s="9" t="inlineStr">
        <is>
          <t>Mechanical / Sheet Metal / HVAC Contractor</t>
        </is>
      </c>
      <c r="E227" s="9" t="inlineStr">
        <is>
          <t>(423) 622-2280</t>
        </is>
      </c>
      <c r="F227" s="9" t="inlineStr">
        <is>
          <t>Chattanooga</t>
        </is>
      </c>
      <c r="G227" s="9" t="inlineStr">
        <is>
          <t>2811 8th Avenue</t>
        </is>
      </c>
      <c r="H227" s="9" t="n"/>
      <c r="I227" s="9" t="n"/>
      <c r="J227" s="9" t="inlineStr">
        <is>
          <t>callahanmechanical.com</t>
        </is>
      </c>
      <c r="K227" s="10" t="n"/>
      <c r="L227" s="10" t="n"/>
      <c r="M227" s="10" t="n"/>
      <c r="N227" s="10" t="n"/>
      <c r="O227" s="9" t="inlineStr">
        <is>
          <t>Gap-filled 2026-09-04 - the phone the first pass could not find. Licensed mechanical contractor 25+ years across the southeast: sheet metal fabrication, process piping, blow pipe, HVAC service and maintenance, design-build and LEED work. A service division means vans out daily.</t>
        </is>
      </c>
    </row>
    <row r="228">
      <c r="A228" s="7" t="inlineStr">
        <is>
          <t>A</t>
        </is>
      </c>
      <c r="B228" s="9" t="inlineStr">
        <is>
          <t>Not phone re-checked</t>
        </is>
      </c>
      <c r="C228" s="9" t="inlineStr">
        <is>
          <t>Chattanooga Coca-Cola Bottling Company</t>
        </is>
      </c>
      <c r="D228" s="9" t="inlineStr">
        <is>
          <t>Beverage Distribution</t>
        </is>
      </c>
      <c r="E228" s="9" t="inlineStr">
        <is>
          <t>(423) 624-4681</t>
        </is>
      </c>
      <c r="F228" s="9" t="inlineStr">
        <is>
          <t>Chattanooga</t>
        </is>
      </c>
      <c r="G228" s="9" t="inlineStr">
        <is>
          <t>2111 W Shepherd Rd</t>
        </is>
      </c>
      <c r="H228" s="9" t="inlineStr">
        <is>
          <t>37421</t>
        </is>
      </c>
      <c r="I228" s="9" t="n"/>
      <c r="J228" s="9" t="inlineStr">
        <is>
          <t>cocacolaunited.com/locations/chattanooga/</t>
        </is>
      </c>
      <c r="K228" s="10" t="n"/>
      <c r="L228" s="10" t="n"/>
      <c r="M228" s="10" t="n"/>
      <c r="N228" s="10" t="n"/>
      <c r="O228" s="9" t="inlineStr">
        <is>
          <t>WEBSITE CORRECTED 2026-09-04: chattanoogacocacola.com has nothing indexed; the operating company is Coca-Cola Bottling Company UNITED and their live Chattanooga location page is cocacolaunited.com/locations/chattanooga/. Phone (423) 624-4681 and 2111 W Shepherd Rd both confirmed against that page. 296,000 sq ft plant opened 2016 serving Chattanooga, Scottsboro AL and Dalton GA - a large delivery-truck fleet running three markets out of this building.</t>
        </is>
      </c>
    </row>
    <row r="229">
      <c r="A229" s="7" t="inlineStr">
        <is>
          <t>A</t>
        </is>
      </c>
      <c r="B229" s="9" t="inlineStr">
        <is>
          <t>Not phone re-checked</t>
        </is>
      </c>
      <c r="C229" s="9" t="inlineStr">
        <is>
          <t>Clean Right Solutions, LLC</t>
        </is>
      </c>
      <c r="D229" s="9" t="inlineStr">
        <is>
          <t>Commercial &amp; Industrial Cleaning</t>
        </is>
      </c>
      <c r="E229" s="9" t="inlineStr">
        <is>
          <t>(423) 468-1155</t>
        </is>
      </c>
      <c r="F229" s="9" t="inlineStr">
        <is>
          <t>Chattanooga</t>
        </is>
      </c>
      <c r="G229" s="9" t="inlineStr">
        <is>
          <t>1140 Latta Street Suite 4</t>
        </is>
      </c>
      <c r="H229" s="9" t="inlineStr">
        <is>
          <t>37421</t>
        </is>
      </c>
      <c r="I229" s="9" t="n"/>
      <c r="J229" s="9" t="inlineStr">
        <is>
          <t>cleanrightsolutions.com</t>
        </is>
      </c>
      <c r="K229" s="10" t="n"/>
      <c r="L229" s="10" t="n"/>
      <c r="M229" s="10" t="n"/>
      <c r="N229" s="10" t="n"/>
      <c r="O229" s="9" t="inlineStr">
        <is>
          <t>Gap-filled 2026-09-04. Commercial cleaning crews driving between accounts. Note listings also show 6170 Shallowford Rd #101 as a second address, so confirm which is the office when you call.</t>
        </is>
      </c>
    </row>
    <row r="230">
      <c r="A230" s="7" t="inlineStr">
        <is>
          <t>A</t>
        </is>
      </c>
      <c r="B230" s="9" t="inlineStr">
        <is>
          <t>Not phone re-checked</t>
        </is>
      </c>
      <c r="C230" s="9" t="inlineStr">
        <is>
          <t>Cordell's Electric</t>
        </is>
      </c>
      <c r="D230" s="9" t="inlineStr">
        <is>
          <t>Electrical Contractor</t>
        </is>
      </c>
      <c r="E230" s="9" t="inlineStr">
        <is>
          <t>(423) 842-0676</t>
        </is>
      </c>
      <c r="F230" s="9" t="inlineStr">
        <is>
          <t>Soddy-Daisy</t>
        </is>
      </c>
      <c r="G230" s="9" t="inlineStr">
        <is>
          <t>104 Thrasher Pike</t>
        </is>
      </c>
      <c r="H230" s="9" t="inlineStr">
        <is>
          <t>37379</t>
        </is>
      </c>
      <c r="I230" s="9" t="n"/>
      <c r="J230" s="9" t="n"/>
      <c r="K230" s="10" t="n"/>
      <c r="L230" s="10" t="n"/>
      <c r="M230" s="10" t="n"/>
      <c r="N230" s="10" t="n"/>
      <c r="O230" s="9" t="inlineStr">
        <is>
          <t>Gap-filled 2026-09-04: cordellelectric1.com exists but serves an unconfigured 'Web Server's Default Page', so there is no official website to read - not recorded. Directories say Cordell Electric Inc, trading since 1971, about four staff, at 104 Thrasher Pike, which matches the row; they name Paul Cordell as owner and Tony Cordell in the business. Ask for a Cordell.</t>
        </is>
      </c>
    </row>
    <row r="231">
      <c r="A231" s="7" t="inlineStr">
        <is>
          <t>A</t>
        </is>
      </c>
      <c r="B231" s="9" t="inlineStr">
        <is>
          <t>Not phone re-checked</t>
        </is>
      </c>
      <c r="C231" s="9" t="inlineStr">
        <is>
          <t>East Chattanooga Lumber &amp; Supply Co.</t>
        </is>
      </c>
      <c r="D231" s="9" t="inlineStr">
        <is>
          <t>Lumber Yard / Building Supply</t>
        </is>
      </c>
      <c r="E231" s="9" t="inlineStr">
        <is>
          <t>(423) 648-5550</t>
        </is>
      </c>
      <c r="F231" s="9" t="inlineStr">
        <is>
          <t>Chattanooga</t>
        </is>
      </c>
      <c r="G231" s="9" t="inlineStr">
        <is>
          <t>1609 Elmendorf Street</t>
        </is>
      </c>
      <c r="H231" s="9" t="n"/>
      <c r="I231" s="9" t="inlineStr">
        <is>
          <t>sales@eastchattanoogalumber.com</t>
        </is>
      </c>
      <c r="J231" s="9" t="inlineStr">
        <is>
          <t>eastchattanoogalumber.com</t>
        </is>
      </c>
      <c r="K231" s="10" t="n"/>
      <c r="L231" s="10" t="n"/>
      <c r="M231" s="10" t="n"/>
      <c r="N231" s="10" t="n"/>
      <c r="O231" s="9" t="inlineStr">
        <is>
          <t>Gap-filled 2026-09-04 - phone and a real sales email recovered. Family owned since 1940 on a 10-acre site with showroom, door shops, millwork warehouse and lumber yard. Delivery trucks running building materials to job sites daily.</t>
        </is>
      </c>
    </row>
    <row r="232">
      <c r="A232" s="7" t="inlineStr">
        <is>
          <t>A</t>
        </is>
      </c>
      <c r="B232" s="9" t="inlineStr">
        <is>
          <t>Not phone re-checked</t>
        </is>
      </c>
      <c r="C232" s="9" t="inlineStr">
        <is>
          <t>Elite Heating &amp; Air</t>
        </is>
      </c>
      <c r="D232" s="9" t="inlineStr">
        <is>
          <t>HVAC Contractor</t>
        </is>
      </c>
      <c r="E232" s="9" t="inlineStr">
        <is>
          <t>(423) 451-2001</t>
        </is>
      </c>
      <c r="F232" s="9" t="inlineStr">
        <is>
          <t>Soddy-Daisy</t>
        </is>
      </c>
      <c r="G232" s="9" t="inlineStr">
        <is>
          <t>12816 Old Dayton Pike</t>
        </is>
      </c>
      <c r="H232" s="9" t="inlineStr">
        <is>
          <t>37379</t>
        </is>
      </c>
      <c r="I232" s="9" t="n"/>
      <c r="J232" s="9" t="n"/>
      <c r="K232" s="10" t="n"/>
      <c r="L232" s="10" t="n"/>
      <c r="M232" s="10" t="n"/>
      <c r="N232" s="10" t="n"/>
      <c r="O232" s="9" t="inlineStr">
        <is>
          <t>Gap-filled 2026-09-04: open Google search turned up no official website that can be confirmed. A directory points at elitehvac.org but nothing on that domain is indexed, so it cannot be tied to this business - not recorded. Directories give 12816 Old Dayton Pike, which matches the row. Phone on the row is unchanged and still needs confirming by call.</t>
        </is>
      </c>
    </row>
    <row r="233">
      <c r="A233" s="7" t="inlineStr">
        <is>
          <t>A</t>
        </is>
      </c>
      <c r="B233" s="9" t="inlineStr">
        <is>
          <t>Not phone re-checked</t>
        </is>
      </c>
      <c r="C233" s="9" t="inlineStr">
        <is>
          <t>Express Waste Solutions LLC</t>
        </is>
      </c>
      <c r="D233" s="9" t="inlineStr">
        <is>
          <t>Waste Management / Recycling</t>
        </is>
      </c>
      <c r="E233" s="9" t="inlineStr">
        <is>
          <t>(423) 362-5555</t>
        </is>
      </c>
      <c r="F233" s="9" t="inlineStr">
        <is>
          <t>Hixson</t>
        </is>
      </c>
      <c r="G233" s="9" t="inlineStr">
        <is>
          <t>1725 Varner Road</t>
        </is>
      </c>
      <c r="H233" s="9" t="inlineStr">
        <is>
          <t>37343</t>
        </is>
      </c>
      <c r="I233" s="9" t="n"/>
      <c r="J233" s="9" t="inlineStr">
        <is>
          <t>expresswastesolutions.com</t>
        </is>
      </c>
      <c r="K233" s="10" t="n"/>
      <c r="L233" s="10" t="n"/>
      <c r="M233" s="10" t="n"/>
      <c r="N233" s="10" t="n"/>
      <c r="O233" s="9" t="inlineStr">
        <is>
          <t>Gap-filled 2026-09-04. Family owned, 30+ years, collecting in Hixson, Soddy Daisy, East Brainerd and Catoosa County GA - residential routes mean trucks out every working day. The site is a Bootstrap template and thin, but it is theirs and it is current.</t>
        </is>
      </c>
    </row>
    <row r="234">
      <c r="A234" s="7" t="inlineStr">
        <is>
          <t>A</t>
        </is>
      </c>
      <c r="B234" s="9" t="inlineStr">
        <is>
          <t>Not phone re-checked</t>
        </is>
      </c>
      <c r="C234" s="9" t="inlineStr">
        <is>
          <t>Fulmer Concrete Construction</t>
        </is>
      </c>
      <c r="D234" s="9" t="inlineStr">
        <is>
          <t>Commercial Concrete Construction</t>
        </is>
      </c>
      <c r="E234" s="9" t="inlineStr">
        <is>
          <t>(423) 855-1551</t>
        </is>
      </c>
      <c r="F234" s="9" t="inlineStr">
        <is>
          <t>Chattanooga</t>
        </is>
      </c>
      <c r="G234" s="9" t="inlineStr">
        <is>
          <t>4845 Geminus Drive</t>
        </is>
      </c>
      <c r="H234" s="9" t="n"/>
      <c r="I234" s="9" t="n"/>
      <c r="J234" s="9" t="inlineStr">
        <is>
          <t>fulmerconcrete.com</t>
        </is>
      </c>
      <c r="K234" s="10" t="n"/>
      <c r="L234" s="10" t="n"/>
      <c r="M234" s="10" t="n"/>
      <c r="N234" s="10" t="n"/>
      <c r="O234" s="9" t="inlineStr">
        <is>
          <t>Gap-filled 2026-09-04 - this was on the chase-by-other-means list in RESUME.md and is now closed. Founded 1968, 100+ staff, one of the largest commercial concrete outfits in east Tennessee and north Georgia: foundations, slabs, paving and parking decks, so mixers and crew trucks on rough ground constantly.</t>
        </is>
      </c>
    </row>
    <row r="235">
      <c r="A235" s="7" t="inlineStr">
        <is>
          <t>A</t>
        </is>
      </c>
      <c r="B235" s="9" t="inlineStr">
        <is>
          <t>Not phone re-checked</t>
        </is>
      </c>
      <c r="C235" s="9" t="inlineStr">
        <is>
          <t>Goggin Warehousing</t>
        </is>
      </c>
      <c r="D235" s="9" t="inlineStr">
        <is>
          <t>Third-Party Logistics / Warehousing / Transportation</t>
        </is>
      </c>
      <c r="E235" s="9" t="inlineStr">
        <is>
          <t>(423) 698-0996</t>
        </is>
      </c>
      <c r="F235" s="9" t="inlineStr">
        <is>
          <t>Chattanooga</t>
        </is>
      </c>
      <c r="G235" s="9" t="inlineStr">
        <is>
          <t>1609 Elmendorf Street</t>
        </is>
      </c>
      <c r="H235" s="9" t="n"/>
      <c r="I235" s="9" t="n"/>
      <c r="J235" s="9" t="inlineStr">
        <is>
          <t>gogginwarehousing.com</t>
        </is>
      </c>
      <c r="K235" s="10" t="n"/>
      <c r="L235" s="10" t="n"/>
      <c r="M235" s="10" t="n"/>
      <c r="N235" s="10" t="n"/>
      <c r="O235" s="9" t="inlineStr">
        <is>
          <t>Gap-filled 2026-09-04. A 3PL with its own transportation arm - trucks plus yard equipment. One caution: listings put them at 1609 Elmendorf Street, the same address as East Chattanooga Lumber, so one of the two listings may be wrong; confirm the Chattanooga site when you call. Their own locations page is the place to get the local contact.</t>
        </is>
      </c>
    </row>
    <row r="236">
      <c r="A236" s="7" t="inlineStr">
        <is>
          <t>A</t>
        </is>
      </c>
      <c r="B236" s="9" t="inlineStr">
        <is>
          <t>Not phone re-checked</t>
        </is>
      </c>
      <c r="C236" s="9" t="inlineStr">
        <is>
          <t>Harvey's Plumbing</t>
        </is>
      </c>
      <c r="D236" s="9" t="inlineStr">
        <is>
          <t>Plumbing</t>
        </is>
      </c>
      <c r="E236" s="9" t="inlineStr">
        <is>
          <t>(423) 842-0998</t>
        </is>
      </c>
      <c r="F236" s="9" t="inlineStr">
        <is>
          <t>Hixson</t>
        </is>
      </c>
      <c r="G236" s="9" t="inlineStr">
        <is>
          <t>8003 Hixson Pike</t>
        </is>
      </c>
      <c r="H236" s="9" t="inlineStr">
        <is>
          <t>37343</t>
        </is>
      </c>
      <c r="I236" s="9" t="n"/>
      <c r="J236" s="9" t="inlineStr">
        <is>
          <t>harveysplumbingco.com</t>
        </is>
      </c>
      <c r="K236" s="10" t="n"/>
      <c r="L236" s="10" t="n"/>
      <c r="M236" s="10" t="n"/>
      <c r="N236" s="10" t="n"/>
      <c r="O236" s="9" t="inlineStr">
        <is>
          <t>Recorded 2026-09-04. Caution stands: the domain also serves an unrelated PDF and a 'Resources and Information' page, the look of a partly lapsed domain, so confirm they are trading when you call. Covers Chattanooga, Soddy Daisy, Harrison, Hixson and Ooltewah.</t>
        </is>
      </c>
    </row>
    <row r="237">
      <c r="A237" s="7" t="inlineStr">
        <is>
          <t>A</t>
        </is>
      </c>
      <c r="B237" s="9" t="inlineStr">
        <is>
          <t>Not phone re-checked</t>
        </is>
      </c>
      <c r="C237" s="9" t="inlineStr">
        <is>
          <t>HUTTON CONSTRUCTION, INC.</t>
        </is>
      </c>
      <c r="D237" s="9" t="inlineStr">
        <is>
          <t>Heavy Civil - Dams, Water &amp; Sewer, Pump Stations</t>
        </is>
      </c>
      <c r="E237" s="9" t="inlineStr">
        <is>
          <t>(423) 402-1993</t>
        </is>
      </c>
      <c r="F237" s="9" t="inlineStr">
        <is>
          <t>Chattanooga</t>
        </is>
      </c>
      <c r="G237" s="9" t="inlineStr">
        <is>
          <t>736 Cherry Street Suite 200</t>
        </is>
      </c>
      <c r="H237" s="9" t="n"/>
      <c r="I237" s="9" t="inlineStr">
        <is>
          <t>info@hutton.build</t>
        </is>
      </c>
      <c r="J237" s="9" t="inlineStr">
        <is>
          <t>hutton.build</t>
        </is>
      </c>
      <c r="K237" s="10" t="n"/>
      <c r="L237" s="10" t="n"/>
      <c r="M237" s="10" t="n"/>
      <c r="N237" s="10" t="n"/>
      <c r="O237" s="9" t="inlineStr">
        <is>
          <t>Gap-filled 2026-09-04 - also on the chase-by-other-means list and now closed. The number recorded is Karen Hutton's direct line, the only one the site publishes; info@hutton.build is the general route. They are a commercial developer and builder - single-tenant retail, shopping centres, multi-family and self-storage - so superintendent trucks travel to sites well beyond the county.</t>
        </is>
      </c>
    </row>
    <row r="238">
      <c r="A238" s="7" t="inlineStr">
        <is>
          <t>A</t>
        </is>
      </c>
      <c r="B238" s="9" t="inlineStr">
        <is>
          <t>Not phone re-checked</t>
        </is>
      </c>
      <c r="C238" s="9" t="inlineStr">
        <is>
          <t>Interior Trim &amp; Supply, Inc.</t>
        </is>
      </c>
      <c r="D238" s="9" t="inlineStr">
        <is>
          <t>Millwork, Doors &amp; Building Materials Supply</t>
        </is>
      </c>
      <c r="E238" s="9" t="inlineStr">
        <is>
          <t>(423) 855-4108</t>
        </is>
      </c>
      <c r="F238" s="9" t="inlineStr">
        <is>
          <t>Chattanooga</t>
        </is>
      </c>
      <c r="G238" s="9" t="inlineStr">
        <is>
          <t>7257 Bonnyshire Drive</t>
        </is>
      </c>
      <c r="H238" s="9" t="n"/>
      <c r="I238" s="9" t="n"/>
      <c r="J238" s="9" t="inlineStr">
        <is>
          <t>interiortrimandsupply.com</t>
        </is>
      </c>
      <c r="K238" s="10" t="n"/>
      <c r="L238" s="10" t="n"/>
      <c r="M238" s="10" t="n"/>
      <c r="N238" s="10" t="n"/>
      <c r="O238" s="9" t="inlineStr">
        <is>
          <t>Gap-filled 2026-09-04. Building materials supplier - trim, doors and fireplace accessories - so delivery trucks to job sites.</t>
        </is>
      </c>
    </row>
    <row r="239">
      <c r="A239" s="7" t="inlineStr">
        <is>
          <t>A</t>
        </is>
      </c>
      <c r="B239" s="9" t="inlineStr">
        <is>
          <t>Not phone re-checked</t>
        </is>
      </c>
      <c r="C239" s="9" t="inlineStr">
        <is>
          <t>J.M. HANNER CONSTRUCTION CO., INC.</t>
        </is>
      </c>
      <c r="D239" s="9" t="inlineStr">
        <is>
          <t>Residential &amp; Commercial Construction / TDOT Work</t>
        </is>
      </c>
      <c r="E239" s="9" t="inlineStr">
        <is>
          <t>(423) 629-8010</t>
        </is>
      </c>
      <c r="F239" s="9" t="inlineStr">
        <is>
          <t>Chattanooga</t>
        </is>
      </c>
      <c r="G239" s="9" t="inlineStr">
        <is>
          <t>1100 South Highland Park Avenue</t>
        </is>
      </c>
      <c r="H239" s="9" t="n"/>
      <c r="I239" s="9" t="inlineStr">
        <is>
          <t>gc@jmhannerconstruction.com</t>
        </is>
      </c>
      <c r="J239" s="9" t="inlineStr">
        <is>
          <t>jmhannerconstruction.com</t>
        </is>
      </c>
      <c r="K239" s="10" t="n"/>
      <c r="L239" s="10" t="n"/>
      <c r="M239" s="10" t="n"/>
      <c r="N239" s="10" t="n"/>
      <c r="O239" s="9" t="inlineStr">
        <is>
          <t>Gap-filled 2026-09-04 - phone, email and website all recovered. Specialty trade GC across southeast Tennessee, listed under paving and driveways as well, so crew and haul trucks.</t>
        </is>
      </c>
    </row>
    <row r="240">
      <c r="A240" s="7" t="inlineStr">
        <is>
          <t>A</t>
        </is>
      </c>
      <c r="B240" s="9" t="inlineStr">
        <is>
          <t>Not phone re-checked</t>
        </is>
      </c>
      <c r="C240" s="9" t="inlineStr">
        <is>
          <t>JENKINS MASONRY, INC.</t>
        </is>
      </c>
      <c r="D240" s="9" t="inlineStr">
        <is>
          <t>Commercial Masonry Contractor</t>
        </is>
      </c>
      <c r="E240" s="9" t="inlineStr">
        <is>
          <t>(423) 624-6186</t>
        </is>
      </c>
      <c r="F240" s="9" t="inlineStr">
        <is>
          <t>Chattanooga</t>
        </is>
      </c>
      <c r="G240" s="9" t="inlineStr">
        <is>
          <t>1218 East 23rd Street</t>
        </is>
      </c>
      <c r="H240" s="9" t="inlineStr">
        <is>
          <t>37408</t>
        </is>
      </c>
      <c r="I240" s="9" t="n"/>
      <c r="J240" s="9" t="inlineStr">
        <is>
          <t>jenkinsmasonryinc.com</t>
        </is>
      </c>
      <c r="K240" s="10" t="n"/>
      <c r="L240" s="10" t="n"/>
      <c r="M240" s="10" t="n"/>
      <c r="N240" s="10" t="n"/>
      <c r="O240" s="9" t="inlineStr">
        <is>
          <t>Gap-filled 2026-09-04. Family owned since 1970, commercial masonry - crew trucks, mixers and material trailers on site daily.</t>
        </is>
      </c>
    </row>
    <row r="241">
      <c r="A241" s="7" t="inlineStr">
        <is>
          <t>A</t>
        </is>
      </c>
      <c r="B241" s="9" t="inlineStr">
        <is>
          <t>Not phone re-checked</t>
        </is>
      </c>
      <c r="C241" s="9" t="inlineStr">
        <is>
          <t>MERCURY CAB CO.</t>
        </is>
      </c>
      <c r="D241" s="9" t="inlineStr">
        <is>
          <t>Taxi / Cab Service</t>
        </is>
      </c>
      <c r="E241" s="9" t="inlineStr">
        <is>
          <t>(423) 624-1084</t>
        </is>
      </c>
      <c r="F241" s="9" t="inlineStr">
        <is>
          <t>Chattanooga</t>
        </is>
      </c>
      <c r="G241" s="9" t="inlineStr">
        <is>
          <t>3661 Brainerd Road Suite 307</t>
        </is>
      </c>
      <c r="H241" s="9" t="n"/>
      <c r="I241" s="9" t="n"/>
      <c r="J241" s="9" t="inlineStr">
        <is>
          <t>mercurycab.com</t>
        </is>
      </c>
      <c r="K241" s="10" t="n"/>
      <c r="L241" s="10" t="n"/>
      <c r="M241" s="10" t="n"/>
      <c r="N241" s="10" t="n"/>
      <c r="O241" s="9" t="inlineStr">
        <is>
          <t>Gap-filled 2026-09-04 - this was top of the chase-by-other-means list in RESUME.md and is now closed. A taxi fleet is continuous city mileage, which is exactly the windscreen profile worth having. No official website; three numbers published, so try 624-1084 first.</t>
        </is>
      </c>
    </row>
    <row r="242">
      <c r="A242" s="7" t="inlineStr">
        <is>
          <t>A</t>
        </is>
      </c>
      <c r="B242" s="9" t="inlineStr">
        <is>
          <t>Not phone re-checked</t>
        </is>
      </c>
      <c r="C242" s="9" t="inlineStr">
        <is>
          <t>MIDDLE VALLEY LAWN AND GARDEN, L.L.C.</t>
        </is>
      </c>
      <c r="D242" s="9" t="inlineStr">
        <is>
          <t>Landscape Supply / Bulk Material Delivery</t>
        </is>
      </c>
      <c r="E242" s="9" t="inlineStr">
        <is>
          <t>(423) 594-0468</t>
        </is>
      </c>
      <c r="F242" s="9" t="inlineStr">
        <is>
          <t>Hixson</t>
        </is>
      </c>
      <c r="G242" s="9" t="inlineStr">
        <is>
          <t>6809 Middle Valley Road</t>
        </is>
      </c>
      <c r="H242" s="9" t="inlineStr">
        <is>
          <t>37343</t>
        </is>
      </c>
      <c r="I242" s="9" t="n"/>
      <c r="J242" s="9" t="inlineStr">
        <is>
          <t>middlevalleylawn.com</t>
        </is>
      </c>
      <c r="K242" s="10" t="n"/>
      <c r="L242" s="10" t="n"/>
      <c r="M242" s="10" t="n"/>
      <c r="N242" s="10" t="n"/>
      <c r="O242" s="9" t="inlineStr">
        <is>
          <t>Gap-filled 2026-09-04. Bulk mulch and topsoil with their own local delivery - dump trucks on gravel yards and driveways daily.</t>
        </is>
      </c>
    </row>
    <row r="243">
      <c r="A243" s="7" t="inlineStr">
        <is>
          <t>A</t>
        </is>
      </c>
      <c r="B243" s="9" t="inlineStr">
        <is>
          <t>Not phone re-checked</t>
        </is>
      </c>
      <c r="C243" s="9" t="inlineStr">
        <is>
          <t>Motivated Movers</t>
        </is>
      </c>
      <c r="D243" s="9" t="inlineStr">
        <is>
          <t>Moving Company</t>
        </is>
      </c>
      <c r="E243" s="9" t="inlineStr">
        <is>
          <t>(423) 994-0529</t>
        </is>
      </c>
      <c r="F243" s="9" t="inlineStr">
        <is>
          <t>Hixson</t>
        </is>
      </c>
      <c r="G243" s="9" t="inlineStr">
        <is>
          <t>5510 TN Highway 153</t>
        </is>
      </c>
      <c r="H243" s="9" t="inlineStr">
        <is>
          <t>37343</t>
        </is>
      </c>
      <c r="I243" s="9" t="n"/>
      <c r="J243" s="9" t="inlineStr">
        <is>
          <t>getmotivatedmovers.com/chattanooga</t>
        </is>
      </c>
      <c r="K243" s="10" t="n"/>
      <c r="L243" s="10" t="n"/>
      <c r="M243" s="10" t="n"/>
      <c r="N243" s="10" t="n"/>
      <c r="O243" s="9" t="inlineStr">
        <is>
          <t>Gap-filled 2026-09-04 by open search. Trading since 2008 across AL, GA, TN and FL; the Chattanooga branch covers Hixson, Red Bank, East Ridge, Soddy-Daisy, Signal Mountain and St Elmo. Box trucks out daily - a good fleet. No street address published on their own site.</t>
        </is>
      </c>
    </row>
    <row r="244">
      <c r="A244" s="7" t="inlineStr">
        <is>
          <t>A</t>
        </is>
      </c>
      <c r="B244" s="9" t="inlineStr">
        <is>
          <t>Not phone re-checked</t>
        </is>
      </c>
      <c r="C244" s="9" t="inlineStr">
        <is>
          <t>Paul Davis Restoration of Greater Chattanooga</t>
        </is>
      </c>
      <c r="D244" s="9" t="inlineStr">
        <is>
          <t>Restoration (Fire/Water)</t>
        </is>
      </c>
      <c r="E244" s="9" t="inlineStr">
        <is>
          <t>(423) 899-2406</t>
        </is>
      </c>
      <c r="F244" s="9" t="inlineStr">
        <is>
          <t>Chattanooga</t>
        </is>
      </c>
      <c r="G244" s="9" t="inlineStr">
        <is>
          <t>1916 Circle Dr</t>
        </is>
      </c>
      <c r="H244" s="9" t="inlineStr">
        <is>
          <t>37421</t>
        </is>
      </c>
      <c r="I244" s="9" t="inlineStr">
        <is>
          <t>pdrchat@gmail.com</t>
        </is>
      </c>
      <c r="J244" s="9" t="inlineStr">
        <is>
          <t>greater-chattanooga.pauldavis.com</t>
        </is>
      </c>
      <c r="K244" s="10" t="n"/>
      <c r="L244" s="10" t="n"/>
      <c r="M244" s="10" t="n"/>
      <c r="N244" s="10" t="n"/>
      <c r="O244" s="9" t="inlineStr">
        <is>
          <t>DUPLICATE FOUND 2026-09-05: row 609, 'Paul Davis Restoration of Chattanooga', is THIS SAME BUSINESS - identical in every field: (423) 899-2406, 1916 Circle Dr 37421, pdrchat@gmail.com and greater-chattanooga.pauldavis.com. The two rows should be merged; call once. VERIFIED 2026-09-04 against their own franchise site: phone and address confirmed, 24/7 emergency response with a THIRTY-MINUTE response window across residential, commercial and industrial flood, fire and contents restoration. A 30-minute promise means vehicles moving fast at all hours, which is when glass gets broken.</t>
        </is>
      </c>
    </row>
    <row r="245">
      <c r="A245" s="7" t="inlineStr">
        <is>
          <t>A</t>
        </is>
      </c>
      <c r="B245" s="9" t="inlineStr">
        <is>
          <t>Not phone re-checked</t>
        </is>
      </c>
      <c r="C245" s="9" t="inlineStr">
        <is>
          <t>Scenic City Arborists</t>
        </is>
      </c>
      <c r="D245" s="9" t="inlineStr">
        <is>
          <t>Tree Care &amp; Removal</t>
        </is>
      </c>
      <c r="E245" s="9" t="inlineStr">
        <is>
          <t>(423) 930-8733</t>
        </is>
      </c>
      <c r="F245" s="9" t="inlineStr">
        <is>
          <t>Chattanooga</t>
        </is>
      </c>
      <c r="G245" s="9" t="inlineStr">
        <is>
          <t>600 Spears Avenue</t>
        </is>
      </c>
      <c r="H245" s="9" t="inlineStr">
        <is>
          <t>37405</t>
        </is>
      </c>
      <c r="I245" s="9" t="inlineStr">
        <is>
          <t>info@sceniccityarborists.com</t>
        </is>
      </c>
      <c r="J245" s="9" t="inlineStr">
        <is>
          <t>sceniccityarborists.com</t>
        </is>
      </c>
      <c r="K245" s="10" t="n"/>
      <c r="L245" s="10" t="n"/>
      <c r="M245" s="10" t="n"/>
      <c r="N245" s="10" t="n"/>
      <c r="O245" s="9" t="inlineStr">
        <is>
          <t>Gap-filled 2026-09-04. The row previously had the email but no phone; now both. Bucket trucks and chippers under branches all day - one of the highest windscreen-damage trades on the list.</t>
        </is>
      </c>
    </row>
    <row r="246">
      <c r="A246" s="7" t="inlineStr">
        <is>
          <t>A</t>
        </is>
      </c>
      <c r="B246" s="9" t="inlineStr">
        <is>
          <t>Not phone re-checked</t>
        </is>
      </c>
      <c r="C246" s="9" t="inlineStr">
        <is>
          <t>Shah Trucking LLC</t>
        </is>
      </c>
      <c r="D246" s="9" t="inlineStr">
        <is>
          <t>Trucking / Freight</t>
        </is>
      </c>
      <c r="E246" s="9" t="inlineStr">
        <is>
          <t>(423) 629-0202</t>
        </is>
      </c>
      <c r="F246" s="9" t="inlineStr">
        <is>
          <t>Chattanooga</t>
        </is>
      </c>
      <c r="G246" s="9" t="inlineStr">
        <is>
          <t>2641 Riverport Road</t>
        </is>
      </c>
      <c r="H246" s="9" t="n"/>
      <c r="I246" s="9" t="inlineStr">
        <is>
          <t>contact@shahtrucking.com</t>
        </is>
      </c>
      <c r="J246" s="9" t="inlineStr">
        <is>
          <t>shahtrucking.com</t>
        </is>
      </c>
      <c r="K246" s="10" t="n"/>
      <c r="L246" s="10" t="n"/>
      <c r="M246" s="10" t="n"/>
      <c r="N246" s="10" t="n"/>
      <c r="O246" s="9" t="inlineStr">
        <is>
          <t>Gap-filled 2026-09-04. Asset-based carrier, so real tractors of their own. Two lines published - 423-629-0202 for trucking, 423-541-6900 for the logistics side. They answer on two domains, shahtrucking.com and shahlogisticsllc.com.</t>
        </is>
      </c>
    </row>
    <row r="247">
      <c r="A247" s="7" t="inlineStr">
        <is>
          <t>A</t>
        </is>
      </c>
      <c r="B247" s="9" t="inlineStr">
        <is>
          <t>Not phone re-checked</t>
        </is>
      </c>
      <c r="C247" s="9" t="inlineStr">
        <is>
          <t>Shelton Construction and Trucking Inc.</t>
        </is>
      </c>
      <c r="D247" s="9" t="inlineStr">
        <is>
          <t>Construction / Trucking</t>
        </is>
      </c>
      <c r="E247" s="9" t="inlineStr">
        <is>
          <t>(423) 842-1507</t>
        </is>
      </c>
      <c r="F247" s="9" t="inlineStr">
        <is>
          <t>Hixson</t>
        </is>
      </c>
      <c r="G247" s="9" t="inlineStr">
        <is>
          <t>7611 Hixson Pike</t>
        </is>
      </c>
      <c r="H247" s="9" t="inlineStr">
        <is>
          <t>37343</t>
        </is>
      </c>
      <c r="I247" s="9" t="n"/>
      <c r="J247" s="9" t="inlineStr">
        <is>
          <t>shelton-const.com</t>
        </is>
      </c>
      <c r="K247" s="10" t="n"/>
      <c r="L247" s="10" t="n"/>
      <c r="M247" s="10" t="n"/>
      <c r="N247" s="10" t="n"/>
      <c r="O247" s="9" t="inlineStr">
        <is>
          <t>Gap-filled 2026-09-04. Caution on the website: shelton-const.com is named in listings but nothing on that domain is indexed, so it could not be confirmed directly - treat it as unverified until someone loads it. The phone and address are consistent across sources. Heavy hauling since 1960 makes this a strong fleet.</t>
        </is>
      </c>
    </row>
    <row r="248">
      <c r="A248" s="7" t="inlineStr">
        <is>
          <t>A</t>
        </is>
      </c>
      <c r="B248" s="9" t="inlineStr">
        <is>
          <t>Not phone re-checked</t>
        </is>
      </c>
      <c r="C248" s="9" t="inlineStr">
        <is>
          <t>Spirit Express LLC</t>
        </is>
      </c>
      <c r="D248" s="9" t="inlineStr">
        <is>
          <t>Petroleum Tanker Trucking</t>
        </is>
      </c>
      <c r="E248" s="9" t="inlineStr">
        <is>
          <t>(423) 648-8315</t>
        </is>
      </c>
      <c r="F248" s="9" t="inlineStr">
        <is>
          <t>Chattanooga</t>
        </is>
      </c>
      <c r="G248" s="9" t="inlineStr">
        <is>
          <t>2024 East Polymer Drive</t>
        </is>
      </c>
      <c r="H248" s="9" t="inlineStr">
        <is>
          <t>37421</t>
        </is>
      </c>
      <c r="I248" s="9" t="n"/>
      <c r="J248" s="9" t="inlineStr">
        <is>
          <t>spiritexpressllc.com</t>
        </is>
      </c>
      <c r="K248" s="10" t="n"/>
      <c r="L248" s="10" t="n"/>
      <c r="M248" s="10" t="n"/>
      <c r="N248" s="10" t="n"/>
      <c r="O248" s="9" t="inlineStr">
        <is>
          <t>Gap-filled 2026-09-04 - the row was deliberately kept at A with no contact details at all because the fleet was too good to drop. Now closed: ask for Greg Kelley on 866-496-7564, or the local line recorded here. Petroleum tankers across four states.</t>
        </is>
      </c>
    </row>
    <row r="249">
      <c r="A249" s="7" t="inlineStr">
        <is>
          <t>A</t>
        </is>
      </c>
      <c r="B249" s="9" t="inlineStr">
        <is>
          <t>Not phone re-checked</t>
        </is>
      </c>
      <c r="C249" s="9" t="inlineStr">
        <is>
          <t>The McBurney Corporation</t>
        </is>
      </c>
      <c r="D249" s="9" t="inlineStr">
        <is>
          <t>Boiler Systems Engineering &amp; Construction</t>
        </is>
      </c>
      <c r="E249" s="9" t="inlineStr">
        <is>
          <t>(423) 624-1727</t>
        </is>
      </c>
      <c r="F249" s="9" t="inlineStr">
        <is>
          <t>Chattanooga</t>
        </is>
      </c>
      <c r="G249" s="9" t="inlineStr">
        <is>
          <t>2805 Riverside Drive</t>
        </is>
      </c>
      <c r="H249" s="9" t="inlineStr">
        <is>
          <t>37406</t>
        </is>
      </c>
      <c r="I249" s="9" t="n"/>
      <c r="J249" s="9" t="inlineStr">
        <is>
          <t>scsenergy.com</t>
        </is>
      </c>
      <c r="K249" s="10" t="n"/>
      <c r="L249" s="10" t="n"/>
      <c r="M249" s="10" t="n"/>
      <c r="N249" s="10" t="n"/>
      <c r="O249" s="9" t="inlineStr">
        <is>
          <t>Gap-filled 2026-09-04 - the row had the address but no phone. Call scsenergy.com's Chattanooga line; mcburney.com still runs as the brand site but the working contact is Steam &amp; Control Systems. Boiler construction and field repair crews travelling to mills and plants.</t>
        </is>
      </c>
    </row>
    <row r="250">
      <c r="A250" s="7" t="inlineStr">
        <is>
          <t>A</t>
        </is>
      </c>
      <c r="B250" s="9" t="inlineStr">
        <is>
          <t>Not phone re-checked</t>
        </is>
      </c>
      <c r="C250" s="9" t="inlineStr">
        <is>
          <t>Tri-State Drilling, LLC</t>
        </is>
      </c>
      <c r="D250" s="9" t="inlineStr">
        <is>
          <t>Drilling Contractor</t>
        </is>
      </c>
      <c r="E250" s="9" t="inlineStr">
        <is>
          <t>(423) 510-0110</t>
        </is>
      </c>
      <c r="F250" s="9" t="inlineStr">
        <is>
          <t>Chattanooga</t>
        </is>
      </c>
      <c r="G250" s="9" t="inlineStr">
        <is>
          <t>6228 Bonny Oaks Drive</t>
        </is>
      </c>
      <c r="H250" s="9" t="inlineStr">
        <is>
          <t>37416</t>
        </is>
      </c>
      <c r="I250" s="9" t="inlineStr">
        <is>
          <t>scheduling@tsdrilling.com</t>
        </is>
      </c>
      <c r="J250" s="9" t="inlineStr">
        <is>
          <t>tsdrilling.com</t>
        </is>
      </c>
      <c r="K250" s="10" t="n"/>
      <c r="L250" s="10" t="n"/>
      <c r="M250" s="10" t="n"/>
      <c r="N250" s="10" t="n"/>
      <c r="O250" s="9" t="inlineStr">
        <is>
          <t>Gap-filled 2026-09-04 - the row had the address but no phone or email, and both are now in. 19+ drill rigs with support trucks across Chattanooga, Nashville, Knoxville and Huntsville/Decatur. scheduling@ is the direct route to whoever books the rigs.</t>
        </is>
      </c>
    </row>
    <row r="251">
      <c r="A251" s="7" t="inlineStr">
        <is>
          <t>A</t>
        </is>
      </c>
      <c r="B251" s="11" t="inlineStr">
        <is>
          <t>Unconfirmed - verify before calling</t>
        </is>
      </c>
      <c r="C251" s="9" t="inlineStr">
        <is>
          <t>ABC Supply Co.</t>
        </is>
      </c>
      <c r="D251" s="9" t="inlineStr">
        <is>
          <t>Building Supply Wholesale Distribution</t>
        </is>
      </c>
      <c r="E251" s="9" t="inlineStr">
        <is>
          <t>(423) 553-1082</t>
        </is>
      </c>
      <c r="F251" s="9" t="inlineStr">
        <is>
          <t>Chattanooga</t>
        </is>
      </c>
      <c r="G251" s="9" t="inlineStr">
        <is>
          <t>2225 Polymer Dr</t>
        </is>
      </c>
      <c r="H251" s="9" t="inlineStr">
        <is>
          <t>37421</t>
        </is>
      </c>
      <c r="I251" s="9" t="n"/>
      <c r="J251" s="9" t="inlineStr">
        <is>
          <t>abcsupply.com</t>
        </is>
      </c>
      <c r="K251" s="10" t="n"/>
      <c r="L251" s="10" t="n"/>
      <c r="M251" s="10" t="n"/>
      <c r="N251" s="10" t="n"/>
      <c r="O251" s="9" t="inlineStr">
        <is>
          <t>PHONE RE-CHECK 2026-09-04: UNCONFIRMED. abcsupply.com carries the branch (2225 Polymer Dr, Chattanooga TN 37421-2210, their branch #043) but the branch page would not load from this session, and no search of their own domain surfaced a local number - only corporate 800-226-1280. The (423) 553-1082 on file is therefore UNSOURCED; verify by phone before relying on it. NAMED CONTACT: Brandon Davis, branch manager, Chattanooga TN - from ABC Supply's own Q1 2023 manager-promotion release. Roofing/siding/window distributor: a branch delivery fleet of boom trucks and flatbeds, and their contractor customers are a second channel.</t>
        </is>
      </c>
    </row>
    <row r="252">
      <c r="A252" s="7" t="inlineStr">
        <is>
          <t>A</t>
        </is>
      </c>
      <c r="B252" s="11" t="inlineStr">
        <is>
          <t>Unconfirmed - verify before calling</t>
        </is>
      </c>
      <c r="C252" s="9" t="inlineStr">
        <is>
          <t>ADI Pavement, LLC</t>
        </is>
      </c>
      <c r="D252" s="9" t="inlineStr">
        <is>
          <t>Asphalt Paving / Concrete</t>
        </is>
      </c>
      <c r="E252" s="9" t="inlineStr">
        <is>
          <t>(423) 490-9981</t>
        </is>
      </c>
      <c r="F252" s="9" t="inlineStr">
        <is>
          <t>Chattanooga</t>
        </is>
      </c>
      <c r="G252" s="9" t="n"/>
      <c r="H252" s="9" t="inlineStr">
        <is>
          <t>37421</t>
        </is>
      </c>
      <c r="I252" s="9" t="n"/>
      <c r="J252" s="9" t="inlineStr">
        <is>
          <t>turnitblack.com</t>
        </is>
      </c>
      <c r="K252" s="10" t="n"/>
      <c r="L252" s="10" t="n"/>
      <c r="M252" s="10" t="n"/>
      <c r="N252" s="10" t="n"/>
      <c r="O252" s="9" t="inlineStr">
        <is>
          <t>PHONE RE-CHECK 2026-09-04: UNCONFIRMED. turnitblack.com is live - a concrete page describing roller-compacted concrete, stamped concrete and storm-water detention, and 30+ years self-performing technical work - but no phone number surfaces on their own domain and no street address either. The (423) 490-9981 on file is UNSOURCED. Paving and concrete fleet; the business is real, the number needs confirming.</t>
        </is>
      </c>
    </row>
    <row r="253">
      <c r="A253" s="7" t="inlineStr">
        <is>
          <t>A</t>
        </is>
      </c>
      <c r="B253" s="11" t="inlineStr">
        <is>
          <t>Unconfirmed - verify before calling</t>
        </is>
      </c>
      <c r="C253" s="9" t="inlineStr">
        <is>
          <t>All Around Heating and Air</t>
        </is>
      </c>
      <c r="D253" s="9" t="inlineStr">
        <is>
          <t>HVAC Contractor</t>
        </is>
      </c>
      <c r="E253" s="9" t="inlineStr">
        <is>
          <t>(423) 760-1273</t>
        </is>
      </c>
      <c r="F253" s="9" t="inlineStr">
        <is>
          <t>Soddy-Daisy</t>
        </is>
      </c>
      <c r="G253" s="9" t="inlineStr">
        <is>
          <t>1000 Falcon Run Dr</t>
        </is>
      </c>
      <c r="H253" s="9" t="inlineStr">
        <is>
          <t>37379</t>
        </is>
      </c>
      <c r="I253" s="9" t="n"/>
      <c r="J253" s="9" t="inlineStr">
        <is>
          <t>aaheatingandairtn.com</t>
        </is>
      </c>
      <c r="K253" s="10" t="n"/>
      <c r="L253" s="10" t="n"/>
      <c r="M253" s="10" t="n"/>
      <c r="N253" s="10" t="n"/>
      <c r="O253" s="9" t="inlineStr">
        <is>
          <t>PHONE RE-CHECK 2026-09-04: UNCONFIRMED - second pass agrees with the first. aaheatingandairtn.com is live with home and about pages confirming a Soddy-Daisy base serving greater Chattanooga, but publishes no address, phone or email. The (423) 760-1273 on file is UNSOURCED.</t>
        </is>
      </c>
    </row>
    <row r="254">
      <c r="A254" s="7" t="inlineStr">
        <is>
          <t>A</t>
        </is>
      </c>
      <c r="B254" s="11" t="inlineStr">
        <is>
          <t>Unconfirmed - verify before calling</t>
        </is>
      </c>
      <c r="C254" s="9" t="inlineStr">
        <is>
          <t>Apex Electric Co., Inc.</t>
        </is>
      </c>
      <c r="D254" s="9" t="inlineStr">
        <is>
          <t>Commercial &amp; Light Industrial Electrical Contractor</t>
        </is>
      </c>
      <c r="E254" s="9" t="inlineStr">
        <is>
          <t>(423) 629-4343</t>
        </is>
      </c>
      <c r="F254" s="9" t="inlineStr">
        <is>
          <t>Chattanooga</t>
        </is>
      </c>
      <c r="G254" s="9" t="n"/>
      <c r="H254" s="9" t="n"/>
      <c r="I254" s="9" t="inlineStr">
        <is>
          <t>joseph.pendergrass@gmail.com</t>
        </is>
      </c>
      <c r="J254" s="9" t="inlineStr">
        <is>
          <t>apexelectriccompany.com</t>
        </is>
      </c>
      <c r="K254" s="10" t="n"/>
      <c r="L254" s="10" t="n"/>
      <c r="M254" s="10" t="n"/>
      <c r="N254" s="10" t="n"/>
      <c r="O254" s="9" t="inlineStr">
        <is>
          <t>PHONE RE-CHECK 2026-09-04: UNCONFIRMED. apexelectriccompany.com is live - home, about, services and contact - and confirms an independent commercial and light-industrial electrical contractor in Chattanooga, but publishes no phone a search of their domain will surface. The (423) 629-4343 on file is UNSOURCED. The named contact does hold up: Joseph Pendergrass, office manager, joseph.pendergrass@gmail.com - a gmail address, but it is what they print, so email is the more reliable first approach here.</t>
        </is>
      </c>
    </row>
    <row r="255">
      <c r="A255" s="7" t="inlineStr">
        <is>
          <t>A</t>
        </is>
      </c>
      <c r="B255" s="11" t="inlineStr">
        <is>
          <t>Unconfirmed - verify before calling</t>
        </is>
      </c>
      <c r="C255" s="9" t="inlineStr">
        <is>
          <t>Brogdon Construction</t>
        </is>
      </c>
      <c r="D255" s="9" t="inlineStr">
        <is>
          <t>Land Development / Erosion Control / Sewer &amp; Septic</t>
        </is>
      </c>
      <c r="E255" s="9" t="inlineStr">
        <is>
          <t>(423) 710-6645</t>
        </is>
      </c>
      <c r="F255" s="9" t="inlineStr">
        <is>
          <t>Chattanooga</t>
        </is>
      </c>
      <c r="G255" s="9" t="inlineStr">
        <is>
          <t>PO Box 15145</t>
        </is>
      </c>
      <c r="H255" s="9" t="inlineStr">
        <is>
          <t>37415</t>
        </is>
      </c>
      <c r="I255" s="9" t="inlineStr">
        <is>
          <t>info@brogdonconstruction.com</t>
        </is>
      </c>
      <c r="J255" s="9" t="inlineStr">
        <is>
          <t>brogdonconstruction.com</t>
        </is>
      </c>
      <c r="K255" s="10" t="n"/>
      <c r="L255" s="10" t="n"/>
      <c r="M255" s="10" t="n"/>
      <c r="N255" s="10" t="n"/>
      <c r="O255" s="9" t="inlineStr">
        <is>
          <t>PHONE RE-CHECK 2026-09-04: UNCONFIRMED. brogdonconstruction.com is live and detailed - land development, erosion control, grading, drainage, foundations, demolition, utility and sewer and septic installation, 15+ years, commercial industrial and municipal - and confirms the PO Box 15145, Chattanooga 37415 on file as the only address they publish. But no phone surfaces on their own domain; they push a request-a-quote form. The (423) 710-6645 is UNSOURCED. Excavators, dump trucks and float trailers; the business is solid, the number needs a check.</t>
        </is>
      </c>
    </row>
    <row r="256">
      <c r="A256" s="7" t="inlineStr">
        <is>
          <t>A</t>
        </is>
      </c>
      <c r="B256" s="11" t="inlineStr">
        <is>
          <t>Unconfirmed - verify before calling</t>
        </is>
      </c>
      <c r="C256" s="9" t="inlineStr">
        <is>
          <t>Broome's Wrecker Service</t>
        </is>
      </c>
      <c r="D256" s="9" t="inlineStr">
        <is>
          <t>Towing</t>
        </is>
      </c>
      <c r="E256" s="9" t="inlineStr">
        <is>
          <t>(423) 629-0253</t>
        </is>
      </c>
      <c r="F256" s="9" t="inlineStr">
        <is>
          <t>East Ridge</t>
        </is>
      </c>
      <c r="G256" s="9" t="inlineStr">
        <is>
          <t>4003 Ringgold Road</t>
        </is>
      </c>
      <c r="H256" s="9" t="inlineStr">
        <is>
          <t>37412</t>
        </is>
      </c>
      <c r="I256" s="9" t="n"/>
      <c r="J256" s="9" t="n"/>
      <c r="K256" s="10" t="n"/>
      <c r="L256" s="10" t="n"/>
      <c r="M256" s="10" t="n"/>
      <c r="N256" s="10" t="n"/>
      <c r="O256" s="9" t="inlineStr">
        <is>
          <t>Recorded 2026-09-04 under the relaxed rule. No official website. One thing to know before extending terms: East Ridge towing practices were the subject of a TBI investigation reported by the Times Free Press and Local 3.</t>
        </is>
      </c>
    </row>
    <row r="257">
      <c r="A257" s="7" t="inlineStr">
        <is>
          <t>A</t>
        </is>
      </c>
      <c r="B257" s="11" t="inlineStr">
        <is>
          <t>Unconfirmed - verify before calling</t>
        </is>
      </c>
      <c r="C257" s="9" t="inlineStr">
        <is>
          <t>CarMax Chattanooga</t>
        </is>
      </c>
      <c r="D257" s="9" t="inlineStr">
        <is>
          <t>Used Car Dealership</t>
        </is>
      </c>
      <c r="E257" s="9" t="inlineStr">
        <is>
          <t>(423) 414-3523</t>
        </is>
      </c>
      <c r="F257" s="9" t="inlineStr">
        <is>
          <t>Chattanooga</t>
        </is>
      </c>
      <c r="G257" s="9" t="inlineStr">
        <is>
          <t>2211 Overnite Drive</t>
        </is>
      </c>
      <c r="H257" s="9" t="inlineStr">
        <is>
          <t>37421</t>
        </is>
      </c>
      <c r="I257" s="9" t="n"/>
      <c r="J257" s="9" t="inlineStr">
        <is>
          <t>carmax.com/stores/7186</t>
        </is>
      </c>
      <c r="K257" s="10" t="n"/>
      <c r="L257" s="10" t="n"/>
      <c r="M257" s="10" t="n"/>
      <c r="N257" s="10" t="n"/>
      <c r="O257" s="9" t="inlineStr">
        <is>
          <t>Phone kept but FLAGGED 2026-09-04. CarMax's own store page publishes no direct number - only a national text-support line on (833) 417-2815. The (423) 414-3523 in this row could not be confirmed or refuted. Their service and repair department runs 7:30-6 weekdays and is the department to reach.</t>
        </is>
      </c>
    </row>
    <row r="258">
      <c r="A258" s="7" t="inlineStr">
        <is>
          <t>A</t>
        </is>
      </c>
      <c r="B258" s="11" t="inlineStr">
        <is>
          <t>Unconfirmed - verify before calling</t>
        </is>
      </c>
      <c r="C258" s="9" t="inlineStr">
        <is>
          <t>Chattanooga Automotive LLC</t>
        </is>
      </c>
      <c r="D258" s="9" t="inlineStr">
        <is>
          <t>Pre-Owned Dealer / Sprinter Vans</t>
        </is>
      </c>
      <c r="E258" s="9" t="inlineStr">
        <is>
          <t>(423) 800-5633</t>
        </is>
      </c>
      <c r="F258" s="9" t="inlineStr">
        <is>
          <t>Hixson</t>
        </is>
      </c>
      <c r="G258" s="9" t="inlineStr">
        <is>
          <t>2209 Hamill Road Suite C</t>
        </is>
      </c>
      <c r="H258" s="9" t="inlineStr">
        <is>
          <t>37343</t>
        </is>
      </c>
      <c r="I258" s="9" t="inlineStr">
        <is>
          <t>chattauto@mail.com</t>
        </is>
      </c>
      <c r="J258" s="9" t="n"/>
      <c r="K258" s="10" t="n"/>
      <c r="L258" s="10" t="n"/>
      <c r="M258" s="10" t="n"/>
      <c r="N258" s="10" t="n"/>
      <c r="O258" s="9" t="inlineStr">
        <is>
          <t>Gap-filled 2026-09-04 under the relaxed rule: no website, but findable on Google with a consistent number, so kept. Ask for Christian Hoeppner.</t>
        </is>
      </c>
    </row>
    <row r="259">
      <c r="A259" s="7" t="inlineStr">
        <is>
          <t>A</t>
        </is>
      </c>
      <c r="B259" s="11" t="inlineStr">
        <is>
          <t>Unconfirmed - verify before calling</t>
        </is>
      </c>
      <c r="C259" s="9" t="inlineStr">
        <is>
          <t>City of Chattanooga - Public Works Dept. (Fleet Management Division)</t>
        </is>
      </c>
      <c r="D259" s="9" t="inlineStr">
        <is>
          <t>Municipal Government</t>
        </is>
      </c>
      <c r="E259" s="9" t="inlineStr">
        <is>
          <t>(423) 643-6311</t>
        </is>
      </c>
      <c r="F259" s="9" t="inlineStr">
        <is>
          <t>Chattanooga</t>
        </is>
      </c>
      <c r="G259" s="9" t="inlineStr">
        <is>
          <t>900 E 11th St</t>
        </is>
      </c>
      <c r="H259" s="9" t="inlineStr">
        <is>
          <t>37403</t>
        </is>
      </c>
      <c r="I259" s="9" t="n"/>
      <c r="J259" s="9" t="inlineStr">
        <is>
          <t>chattanooga.gov/government/public-works</t>
        </is>
      </c>
      <c r="K259" s="10" t="n"/>
      <c r="L259" s="10" t="n"/>
      <c r="M259" s="10" t="n"/>
      <c r="N259" s="10" t="n"/>
      <c r="O259" s="9" t="inlineStr">
        <is>
          <t>OFFICIAL SITE 2026-09-04: NAMED CONTACT FOUND - Kenneth Howell, Director of Fleet Management. The city site publishes no direct Fleet Division number (it routes everything through 311), so the (423) 643-6311 on file is UNCONFIRMED; the Mayor's Office switchboard at 101 E 11th St is (423) 643-7800 if you need a live transfer. IMPORTANT: the Fleet Division has been named one of North America's 100 Best Fleets more than once - a large, professionally run operation that buys on spec and keeps vendor records. Ask for Kenneth Howell's office by name rather than calling 311.</t>
        </is>
      </c>
    </row>
    <row r="260">
      <c r="A260" s="7" t="inlineStr">
        <is>
          <t>A</t>
        </is>
      </c>
      <c r="B260" s="11" t="inlineStr">
        <is>
          <t>Unconfirmed - verify before calling</t>
        </is>
      </c>
      <c r="C260" s="9" t="inlineStr">
        <is>
          <t>Clean Sweep inc</t>
        </is>
      </c>
      <c r="D260" s="9" t="inlineStr">
        <is>
          <t>Street Sweeping / Construction Cleanup</t>
        </is>
      </c>
      <c r="E260" s="9" t="inlineStr">
        <is>
          <t>(423) 877-9192</t>
        </is>
      </c>
      <c r="F260" s="9" t="inlineStr">
        <is>
          <t>Chattanooga</t>
        </is>
      </c>
      <c r="G260" s="9" t="n"/>
      <c r="H260" s="9" t="n"/>
      <c r="I260" s="9" t="n"/>
      <c r="J260" s="9" t="inlineStr">
        <is>
          <t>cleansweepinc.com</t>
        </is>
      </c>
      <c r="K260" s="10" t="n"/>
      <c r="L260" s="10" t="n"/>
      <c r="M260" s="10" t="n"/>
      <c r="N260" s="10" t="n"/>
      <c r="O260" s="9" t="inlineStr">
        <is>
          <t>PHONE RE-CHECK 2026-09-04: UNCONFIRMED. cleansweepinc.com is live and confirms the business - street sweeping for businesses and municipalities across Tennessee, Georgia and Alabama, plus road-construction cleanup and milling sweeping - and confirms they now operate as SWEEPING CORP OF AMERICA. But no phone surfaces on their own domain, so the (423) 877-9192 on file is UNSOURCED; the parent company may be the better route in. Street sweepers are a pure fleet business working construction zones, which is about as hard on glass as it gets. No address published.</t>
        </is>
      </c>
    </row>
    <row r="261">
      <c r="A261" s="7" t="inlineStr">
        <is>
          <t>A</t>
        </is>
      </c>
      <c r="B261" s="11" t="inlineStr">
        <is>
          <t>Unconfirmed - verify before calling</t>
        </is>
      </c>
      <c r="C261" s="9" t="inlineStr">
        <is>
          <t>Competition Athletic Surfaces</t>
        </is>
      </c>
      <c r="D261" s="9" t="inlineStr">
        <is>
          <t>Tennis Court / Track / Sport Surface Construction</t>
        </is>
      </c>
      <c r="E261" s="9" t="inlineStr">
        <is>
          <t>(423) 847-8330</t>
        </is>
      </c>
      <c r="F261" s="9" t="inlineStr">
        <is>
          <t>Chattanooga</t>
        </is>
      </c>
      <c r="G261" s="9" t="inlineStr">
        <is>
          <t>3205 North Hawthorne Street</t>
        </is>
      </c>
      <c r="H261" s="9" t="inlineStr">
        <is>
          <t>37406</t>
        </is>
      </c>
      <c r="I261" s="9" t="inlineStr">
        <is>
          <t>info@competitionathleticsurfaces.com</t>
        </is>
      </c>
      <c r="J261" s="9" t="inlineStr">
        <is>
          <t>competitionathleticsurfaces.com</t>
        </is>
      </c>
      <c r="K261" s="10" t="n"/>
      <c r="L261" s="10" t="n"/>
      <c r="M261" s="10" t="n"/>
      <c r="N261" s="10" t="n"/>
      <c r="O261" s="9" t="inlineStr">
        <is>
          <t>PHONE RE-CHECK 2026-09-04: UNCONFIRMED. competitionathleticsurfaces.com is live and substantial but publishes no phone or street address a search of their domain will surface, so the (423) 847-8330 on file is UNSOURCED - though the 847 prefix being the Hixson exchange is at least consistent with a local number. THE BUSINESS IS SERIOUS: their own news pages cite three SEC schools, US Open tennis surfacing, the Chattanooga Lookouts warning track and the Manker Patten indoor courts. Tennis, pickleball, futsal, running tracks and synthetic turf across the southeast - southeast-wide travel with material trailers, so worth chasing the number down.</t>
        </is>
      </c>
    </row>
    <row r="262">
      <c r="A262" s="7" t="inlineStr">
        <is>
          <t>A</t>
        </is>
      </c>
      <c r="B262" s="11" t="inlineStr">
        <is>
          <t>Unconfirmed - verify before calling</t>
        </is>
      </c>
      <c r="C262" s="9" t="inlineStr">
        <is>
          <t>Conley Towing</t>
        </is>
      </c>
      <c r="D262" s="9" t="inlineStr">
        <is>
          <t>Towing</t>
        </is>
      </c>
      <c r="E262" s="9" t="inlineStr">
        <is>
          <t>(423) 842-7243</t>
        </is>
      </c>
      <c r="F262" s="9" t="inlineStr">
        <is>
          <t>Hixson</t>
        </is>
      </c>
      <c r="G262" s="9" t="inlineStr">
        <is>
          <t>6714 Middle Valley Rd</t>
        </is>
      </c>
      <c r="H262" s="9" t="inlineStr">
        <is>
          <t>37343</t>
        </is>
      </c>
      <c r="I262" s="9" t="inlineStr">
        <is>
          <t>conleywrecker14@yahoo.com</t>
        </is>
      </c>
      <c r="J262" s="9" t="inlineStr">
        <is>
          <t>conleywrecker.com</t>
        </is>
      </c>
      <c r="K262" s="10" t="n"/>
      <c r="L262" s="10" t="n"/>
      <c r="M262" s="10" t="n"/>
      <c r="N262" s="10" t="n"/>
      <c r="O262" s="9" t="inlineStr">
        <is>
          <t>PHONE RE-CHECK 2026-09-04: UNCONFIRMED, and the website on file looks dead. A search scoped to conleywrecker.com returned nothing at all, and the open fallback found no official site for them - every hit carrying (423) 842-7243 and 6714 Middle Valley Rd is a towing directory, which is not a source. So both the phone and the 09-03 website find are UNSOURCED. FEDERAL RECORD (not a directory): FMCSA SAFER lists USDOT 2877384 as CONLEY WRECKER SERVICE / TENNESSEE WRECKER / SPICER TOWING &amp; RECOVERY, registrant JAMES RATLEDGE - so this is one combined operation trading under three names, and the 09-03 note naming the owner as David Ratledge should be treated as unverified. Tennessee Wrecker's live site is mytnwrecker.com; that is the better door into the same fleet.</t>
        </is>
      </c>
    </row>
    <row r="263">
      <c r="A263" s="7" t="inlineStr">
        <is>
          <t>A</t>
        </is>
      </c>
      <c r="B263" s="11" t="inlineStr">
        <is>
          <t>Unconfirmed - verify before calling</t>
        </is>
      </c>
      <c r="C263" s="9" t="inlineStr">
        <is>
          <t>Covenant Logistics Group</t>
        </is>
      </c>
      <c r="D263" s="9" t="inlineStr">
        <is>
          <t>Trucking / Logistics</t>
        </is>
      </c>
      <c r="E263" s="9" t="inlineStr">
        <is>
          <t>(423) 821-1212</t>
        </is>
      </c>
      <c r="F263" s="9" t="inlineStr">
        <is>
          <t>Chattanooga</t>
        </is>
      </c>
      <c r="G263" s="9" t="inlineStr">
        <is>
          <t>400 Birmingham Hwy</t>
        </is>
      </c>
      <c r="H263" s="9" t="inlineStr">
        <is>
          <t>37419</t>
        </is>
      </c>
      <c r="I263" s="9" t="inlineStr">
        <is>
          <t>communications@covenanttransport.com</t>
        </is>
      </c>
      <c r="J263" s="9" t="inlineStr">
        <is>
          <t>covenantlogistics.com</t>
        </is>
      </c>
      <c r="K263" s="10" t="n"/>
      <c r="L263" s="10" t="n"/>
      <c r="M263" s="10" t="n"/>
      <c r="N263" s="10" t="n"/>
      <c r="O263" s="9" t="inlineStr">
        <is>
          <t>OFFICIAL SITE 2026-09-04: 400 Birmingham Hwy HQ confirmed (plus Hogan Hall driver training centre at 500 Birmingham Hwy). Their contact page publishes only a web form and an investor-relations line (423-463-3339) - no general number - so the (423) 821-1212 on file is UNCONFIRMED. Publicly traded carrier. DUPLICATE FOUND 2026-09-05: row 509, 'Covenant Trucking Inc', carries the SAME address, the SAME (423) 821-1212 and the SAME covenantlogistics.com - Covenant Trucking is the old trading name of this group. The two rows should be merged; do not work them as separate prospects.</t>
        </is>
      </c>
    </row>
    <row r="264">
      <c r="A264" s="7" t="inlineStr">
        <is>
          <t>A</t>
        </is>
      </c>
      <c r="B264" s="11" t="inlineStr">
        <is>
          <t>Unconfirmed - verify before calling</t>
        </is>
      </c>
      <c r="C264" s="9" t="inlineStr">
        <is>
          <t>Covenant Trucking Inc</t>
        </is>
      </c>
      <c r="D264" s="9" t="inlineStr">
        <is>
          <t>Truckload Carrier / Logistics</t>
        </is>
      </c>
      <c r="E264" s="9" t="inlineStr">
        <is>
          <t>(423) 821-1212</t>
        </is>
      </c>
      <c r="F264" s="9" t="inlineStr">
        <is>
          <t>Chattanooga</t>
        </is>
      </c>
      <c r="G264" s="9" t="inlineStr">
        <is>
          <t>400 Birmingham Highway</t>
        </is>
      </c>
      <c r="H264" s="9" t="n"/>
      <c r="I264" s="9" t="n"/>
      <c r="J264" s="9" t="inlineStr">
        <is>
          <t>covenantlogistics.com</t>
        </is>
      </c>
      <c r="K264" s="10" t="n"/>
      <c r="L264" s="10" t="n"/>
      <c r="M264" s="10" t="n"/>
      <c r="N264" s="10" t="n"/>
      <c r="O264" s="9" t="inlineStr">
        <is>
          <t>DUPLICATE 2026-09-05: this is the same company as row 40, 'Covenant Logistics Group' - same 400 Birmingham Highway, same (423) 821-1212, same covenantlogistics.com. Covenant Trucking is the group's older trading name. Merge into row 40 and do not call twice. The phone carries row 40's flag too: their own contact page publishes only a web form and an investor-relations line (423-463-3339), so 821-1212 is UNCONFIRMED.</t>
        </is>
      </c>
    </row>
    <row r="265">
      <c r="A265" s="7" t="inlineStr">
        <is>
          <t>A</t>
        </is>
      </c>
      <c r="B265" s="11" t="inlineStr">
        <is>
          <t>Unconfirmed - verify before calling</t>
        </is>
      </c>
      <c r="C265" s="9" t="inlineStr">
        <is>
          <t>Denton's Wrecker Service</t>
        </is>
      </c>
      <c r="D265" s="9" t="inlineStr">
        <is>
          <t>Towing</t>
        </is>
      </c>
      <c r="E265" s="9" t="inlineStr">
        <is>
          <t>(423) 892-9222</t>
        </is>
      </c>
      <c r="F265" s="9" t="inlineStr">
        <is>
          <t>Chattanooga</t>
        </is>
      </c>
      <c r="G265" s="9" t="inlineStr">
        <is>
          <t>7740 Lee Highway</t>
        </is>
      </c>
      <c r="H265" s="9" t="inlineStr">
        <is>
          <t>37421</t>
        </is>
      </c>
      <c r="I265" s="9" t="n"/>
      <c r="J265" s="9" t="n"/>
      <c r="K265" s="10" t="n"/>
      <c r="L265" s="10" t="n"/>
      <c r="M265" s="10" t="n"/>
      <c r="N265" s="10" t="n"/>
      <c r="O265" s="9" t="inlineStr">
        <is>
          <t>Recorded 2026-09-04 under the relaxed rule: findable on Google with a consistent phone, so kept even though there is no official website. Long-established - a community history post shows them at this address as far back as 1956. Heavy-duty wreckers, so a good fleet.</t>
        </is>
      </c>
    </row>
    <row r="266">
      <c r="A266" s="7" t="inlineStr">
        <is>
          <t>A</t>
        </is>
      </c>
      <c r="B266" s="11" t="inlineStr">
        <is>
          <t>Unconfirmed - verify before calling</t>
        </is>
      </c>
      <c r="C266" s="9" t="inlineStr">
        <is>
          <t>Erwin Marine Sales</t>
        </is>
      </c>
      <c r="D266" s="9" t="inlineStr">
        <is>
          <t>Boat Dealer / Marine Service</t>
        </is>
      </c>
      <c r="E266" s="9" t="inlineStr">
        <is>
          <t>(423) 622-1978</t>
        </is>
      </c>
      <c r="F266" s="9" t="inlineStr">
        <is>
          <t>Chattanooga</t>
        </is>
      </c>
      <c r="G266" s="9" t="inlineStr">
        <is>
          <t>3001 Kings Point Rd</t>
        </is>
      </c>
      <c r="H266" s="9" t="inlineStr">
        <is>
          <t>37416</t>
        </is>
      </c>
      <c r="I266" s="9" t="n"/>
      <c r="J266" s="9" t="inlineStr">
        <is>
          <t>erwinmarinesales.com</t>
        </is>
      </c>
      <c r="K266" s="10" t="n"/>
      <c r="L266" s="10" t="n"/>
      <c r="M266" s="10" t="n"/>
      <c r="N266" s="10" t="n"/>
      <c r="O266" s="9" t="inlineStr">
        <is>
          <t>PHONE RE-CHECK 2026-09-04: UNCONFIRMED. Three searches of erwinmarinesales.com - contact page, service page and both marina pages - surface no phone number at all; they route everything through a form. The (423) 622-1978 on file is UNSOURCED; verify before relying on it. Their site does confirm two Chattanooga sites: Chickamauga Marina (the 3001 Kings Point Rd service yard on this row) and Erwin Marine Riverfront downtown, part of five marinas across TN and AL. Boat haulers and yard trucks, plus the service department itself.</t>
        </is>
      </c>
    </row>
    <row r="267">
      <c r="A267" s="7" t="inlineStr">
        <is>
          <t>A</t>
        </is>
      </c>
      <c r="B267" s="11" t="inlineStr">
        <is>
          <t>Unconfirmed - verify before calling</t>
        </is>
      </c>
      <c r="C267" s="9" t="inlineStr">
        <is>
          <t>Express Courier International, Inc.</t>
        </is>
      </c>
      <c r="D267" s="9" t="inlineStr">
        <is>
          <t>Medical / General Courier</t>
        </is>
      </c>
      <c r="E267" s="9" t="inlineStr">
        <is>
          <t>(423) 510-0271</t>
        </is>
      </c>
      <c r="F267" s="9" t="inlineStr">
        <is>
          <t>Chattanooga</t>
        </is>
      </c>
      <c r="G267" s="9" t="inlineStr">
        <is>
          <t>2131 Polymer Dr</t>
        </is>
      </c>
      <c r="H267" s="9" t="inlineStr">
        <is>
          <t>37421</t>
        </is>
      </c>
      <c r="I267" s="9" t="n"/>
      <c r="J267" s="9" t="inlineStr">
        <is>
          <t>expresscourier.net</t>
        </is>
      </c>
      <c r="K267" s="10" t="n"/>
      <c r="L267" s="10" t="n"/>
      <c r="M267" s="10" t="n"/>
      <c r="N267" s="10" t="n"/>
      <c r="O267" s="9" t="inlineStr">
        <is>
          <t>PHONE RE-CHECK 2026-09-04: UNCONFIRMED, and the address is doubtful too. expresscourier.net publishes no Chattanooga terminal phone, address or email - only hr@expresscourier.net and general service pages - so the (423) 510-0271 on file is UNSOURCED. ADDRESS CONFLICT: this row's 2131 Polymer Dr is the same address Cintas publishes for its own Chattanooga branch (row 206, Suite 2131-A), and Cintas is the one whose site actually carries it. Treat 2131 Polymer Dr on this row as unverified. Same-day courier across ten states running owner-operator drivers - the drivers own the vans, which changes who buys the glass.</t>
        </is>
      </c>
    </row>
    <row r="268">
      <c r="A268" s="7" t="inlineStr">
        <is>
          <t>A</t>
        </is>
      </c>
      <c r="B268" s="11" t="inlineStr">
        <is>
          <t>Unconfirmed - verify before calling</t>
        </is>
      </c>
      <c r="C268" s="9" t="inlineStr">
        <is>
          <t>First Student (Hamilton County Schools contractor)</t>
        </is>
      </c>
      <c r="D268" s="9" t="inlineStr">
        <is>
          <t>School Transportation</t>
        </is>
      </c>
      <c r="E268" s="9" t="inlineStr">
        <is>
          <t>(423) 209-5680</t>
        </is>
      </c>
      <c r="F268" s="9" t="inlineStr">
        <is>
          <t>Chattanooga</t>
        </is>
      </c>
      <c r="G268" s="9" t="inlineStr">
        <is>
          <t>2501 Dodds Ave</t>
        </is>
      </c>
      <c r="H268" s="9" t="inlineStr">
        <is>
          <t>37407</t>
        </is>
      </c>
      <c r="I268" s="9" t="n"/>
      <c r="J268" s="9" t="inlineStr">
        <is>
          <t>firststudentinc.com</t>
        </is>
      </c>
      <c r="K268" s="10" t="n"/>
      <c r="L268" s="10" t="n"/>
      <c r="M268" s="10" t="n"/>
      <c r="N268" s="10" t="n"/>
      <c r="O268" s="9" t="inlineStr">
        <is>
          <t>OFFICIAL SITE 2026-09-04: 2501 Dodds Ave confirmed as an active First Student location (current Chattanooga driver postings are advertised at that address). Their site publishes NO local number - only corporate 513-362-4600 - so the (423) 209-5680 on file is UNCONFIRMED. School-bus contractor: a large bus fleet with flat laminated windshields, and glass work is scheduled through the terminal manager at Dodds Ave, not corporate.</t>
        </is>
      </c>
    </row>
    <row r="269">
      <c r="A269" s="7" t="inlineStr">
        <is>
          <t>A</t>
        </is>
      </c>
      <c r="B269" s="11" t="inlineStr">
        <is>
          <t>Unconfirmed - verify before calling</t>
        </is>
      </c>
      <c r="C269" s="9" t="inlineStr">
        <is>
          <t>Grease Fellas</t>
        </is>
      </c>
      <c r="D269" s="9" t="inlineStr">
        <is>
          <t>Grease Trap Pumping / Wastewater Disposal</t>
        </is>
      </c>
      <c r="E269" s="9" t="inlineStr">
        <is>
          <t>(423) 508-4043</t>
        </is>
      </c>
      <c r="F269" s="9" t="inlineStr">
        <is>
          <t>Chattanooga</t>
        </is>
      </c>
      <c r="G269" s="9" t="n"/>
      <c r="H269" s="9" t="n"/>
      <c r="I269" s="9" t="inlineStr">
        <is>
          <t>matt@flushfellas.com</t>
        </is>
      </c>
      <c r="J269" s="9" t="inlineStr">
        <is>
          <t>greasefellas.com</t>
        </is>
      </c>
      <c r="K269" s="10" t="n"/>
      <c r="L269" s="10" t="n"/>
      <c r="M269" s="10" t="n"/>
      <c r="N269" s="10" t="n"/>
      <c r="O269" s="9" t="inlineStr">
        <is>
          <t>PHONE RE-CHECK 2026-09-04: UNCONFIRMED. greasefellas.com is live with a full service, city and industry page set (restaurants, grocery stores, churches) and offers 24/7 emergency service, but no phone number surfaces on any page of their own domain - they push a free-quote form. The (423) 508-4043 on file is UNSOURCED. CAUTION STANDS on the email: matt@flushfellas.com is a different domain from greasefellas.com, and their site also carries a septic-services page, so the two brands do look like one owner - confirm on the call. Pump trucks.</t>
        </is>
      </c>
    </row>
    <row r="270">
      <c r="A270" s="7" t="inlineStr">
        <is>
          <t>A</t>
        </is>
      </c>
      <c r="B270" s="11" t="inlineStr">
        <is>
          <t>Unconfirmed - verify before calling</t>
        </is>
      </c>
      <c r="C270" s="9" t="inlineStr">
        <is>
          <t>Gudel's Garage and Towing</t>
        </is>
      </c>
      <c r="D270" s="9" t="inlineStr">
        <is>
          <t>Towing / Auto Repair</t>
        </is>
      </c>
      <c r="E270" s="9" t="inlineStr">
        <is>
          <t>(423) 842-8010</t>
        </is>
      </c>
      <c r="F270" s="9" t="inlineStr">
        <is>
          <t>Hixson</t>
        </is>
      </c>
      <c r="G270" s="9" t="inlineStr">
        <is>
          <t>6403 Middle Valley Rd</t>
        </is>
      </c>
      <c r="H270" s="9" t="inlineStr">
        <is>
          <t>37343</t>
        </is>
      </c>
      <c r="I270" s="9" t="n"/>
      <c r="J270" s="9" t="inlineStr">
        <is>
          <t>gudelsgarageandtowing.com</t>
        </is>
      </c>
      <c r="K270" s="10" t="n"/>
      <c r="L270" s="10" t="n"/>
      <c r="M270" s="10" t="n"/>
      <c r="N270" s="10" t="n"/>
      <c r="O270" s="9" t="inlineStr">
        <is>
          <t>PHONE RE-CHECK 2026-09-04: UNCONFIRMED. gudelsgarageandtowing.com is live but two searches of it surface no phone number, so neither the (423) 842-8010 on file nor the 423-842-5277 from the 09-03 note has an official source - try both on the call. THEIR SITE ALSO CONTRADICTS THE ROW TWICE: it says the family built the garage on HIXSON PIKE, not the 6403 Middle Valley Rd on file, and dates it to 1981 rather than the 1979 in the earlier note. Treat the address as unverified. They run Gudel's Garage and Gudel's Body Shop together as one stop, 24/7 emergency towing - garage, body shop and wreckers is three fleets at one family business.</t>
        </is>
      </c>
    </row>
    <row r="271">
      <c r="A271" s="7" t="inlineStr">
        <is>
          <t>A</t>
        </is>
      </c>
      <c r="B271" s="11" t="inlineStr">
        <is>
          <t>Unconfirmed - verify before calling</t>
        </is>
      </c>
      <c r="C271" s="9" t="inlineStr">
        <is>
          <t>HEP Is On The Way</t>
        </is>
      </c>
      <c r="D271" s="9" t="inlineStr">
        <is>
          <t>HVAC / Plumbing / Electrical</t>
        </is>
      </c>
      <c r="E271" s="9" t="inlineStr">
        <is>
          <t>(423) 397-7772</t>
        </is>
      </c>
      <c r="F271" s="9" t="inlineStr">
        <is>
          <t>Hixson</t>
        </is>
      </c>
      <c r="G271" s="9" t="inlineStr">
        <is>
          <t>6425 Hixson Pike</t>
        </is>
      </c>
      <c r="H271" s="9" t="inlineStr">
        <is>
          <t>37343</t>
        </is>
      </c>
      <c r="I271" s="9" t="n"/>
      <c r="J271" s="9" t="inlineStr">
        <is>
          <t>hepisontheway.com</t>
        </is>
      </c>
      <c r="K271" s="10" t="n"/>
      <c r="L271" s="10" t="n"/>
      <c r="M271" s="10" t="n"/>
      <c r="N271" s="10" t="n"/>
      <c r="O271" s="9" t="inlineStr">
        <is>
          <t>PHONE RE-CHECK 2026-09-04: UNCONFIRMED - second pass agrees with the first. hepisontheway.com carries a Hixson location page and full Chattanooga service pages for plumbing, electrical, HVAC and roofing with 24/7 emergency work, but publishes no local address or phone anywhere searchable. The (423) 397-7772 on file is UNSOURCED. Multi-market operator (Chattanooga, Knoxville, Cleveland) - a large van fleet if you can reach the right branch.</t>
        </is>
      </c>
    </row>
    <row r="272">
      <c r="A272" s="7" t="inlineStr">
        <is>
          <t>A</t>
        </is>
      </c>
      <c r="B272" s="11" t="inlineStr">
        <is>
          <t>Unconfirmed - verify before calling</t>
        </is>
      </c>
      <c r="C272" s="9" t="inlineStr">
        <is>
          <t>Integrated Builds, LLC</t>
        </is>
      </c>
      <c r="D272" s="9" t="inlineStr">
        <is>
          <t>General Contractor</t>
        </is>
      </c>
      <c r="E272" s="9" t="inlineStr">
        <is>
          <t>(423) 643-8448</t>
        </is>
      </c>
      <c r="F272" s="9" t="inlineStr">
        <is>
          <t>Chattanooga</t>
        </is>
      </c>
      <c r="G272" s="9" t="inlineStr">
        <is>
          <t>1310 E End Ave.</t>
        </is>
      </c>
      <c r="H272" s="9" t="inlineStr">
        <is>
          <t>37412</t>
        </is>
      </c>
      <c r="I272" s="9" t="inlineStr">
        <is>
          <t>jclinard@integratedbuilds.com</t>
        </is>
      </c>
      <c r="J272" s="9" t="inlineStr">
        <is>
          <t>integratedbuilds.com</t>
        </is>
      </c>
      <c r="K272" s="10" t="n"/>
      <c r="L272" s="10" t="n"/>
      <c r="M272" s="10" t="n"/>
      <c r="N272" s="10" t="n"/>
      <c r="O272" s="9" t="inlineStr">
        <is>
          <t>PHONE RE-CHECK 2026-09-04: UNCONFIRMED. integratedbuilds.com is live with contact, about and portfolio pages - Brainerd Baptist Church and School, Blue Ridge Pool and Splashpad, a new pharmacy build - but publishes no phone a search of their domain will surface, so the (423) 643-8448 on file is UNSOURCED. jclinard@integratedbuilds.com holds and is the better first approach. THE EARLIER STEER IS CONFIRMED: their own strapline is 'Three Companies. One Family', so ask what else the group owns - it may be three fleets, not one.</t>
        </is>
      </c>
    </row>
    <row r="273">
      <c r="A273" s="7" t="inlineStr">
        <is>
          <t>A</t>
        </is>
      </c>
      <c r="B273" s="11" t="inlineStr">
        <is>
          <t>Unconfirmed - verify before calling</t>
        </is>
      </c>
      <c r="C273" s="9" t="inlineStr">
        <is>
          <t>Integrity Buick GMC Cadillac</t>
        </is>
      </c>
      <c r="D273" s="9" t="inlineStr">
        <is>
          <t>Auto Dealership</t>
        </is>
      </c>
      <c r="E273" s="9" t="inlineStr">
        <is>
          <t>(423) 855-0550</t>
        </is>
      </c>
      <c r="F273" s="9" t="inlineStr">
        <is>
          <t>Chattanooga</t>
        </is>
      </c>
      <c r="G273" s="9" t="inlineStr">
        <is>
          <t>6025 International Drive</t>
        </is>
      </c>
      <c r="H273" s="9" t="inlineStr">
        <is>
          <t>37421</t>
        </is>
      </c>
      <c r="I273" s="9" t="n"/>
      <c r="J273" s="9" t="inlineStr">
        <is>
          <t>integrityofchattanooga.com</t>
        </is>
      </c>
      <c r="K273" s="10" t="n"/>
      <c r="L273" s="10" t="n"/>
      <c r="M273" s="10" t="n"/>
      <c r="N273" s="10" t="n"/>
      <c r="O273" s="9" t="inlineStr">
        <is>
          <t>Phone kept but FLAGGED 2026-09-04. The row holds (423) 855-0550, a local number their own site no longer publishes - it now lists only toll-free lines. The local number is more useful so it stays; if it fails, service is 877-885-9706.</t>
        </is>
      </c>
    </row>
    <row r="274">
      <c r="A274" s="7" t="inlineStr">
        <is>
          <t>A</t>
        </is>
      </c>
      <c r="B274" s="11" t="inlineStr">
        <is>
          <t>Unconfirmed - verify before calling</t>
        </is>
      </c>
      <c r="C274" s="9" t="inlineStr">
        <is>
          <t>JM Specialties, Inc.</t>
        </is>
      </c>
      <c r="D274" s="9" t="inlineStr">
        <is>
          <t>Commercial Overhead Doors / Loading Dock Equipment</t>
        </is>
      </c>
      <c r="E274" s="9" t="inlineStr">
        <is>
          <t>(423) 219-5317</t>
        </is>
      </c>
      <c r="F274" s="9" t="inlineStr">
        <is>
          <t>Chattanooga</t>
        </is>
      </c>
      <c r="G274" s="9" t="n"/>
      <c r="H274" s="9" t="n"/>
      <c r="I274" s="9" t="n"/>
      <c r="J274" s="9" t="inlineStr">
        <is>
          <t>jmspecialtiesinc.com</t>
        </is>
      </c>
      <c r="K274" s="10" t="n"/>
      <c r="L274" s="10" t="n"/>
      <c r="M274" s="10" t="n"/>
      <c r="N274" s="10" t="n"/>
      <c r="O274" s="9" t="inlineStr">
        <is>
          <t>PHONE RE-CHECK 2026-09-04: UNCONFIRMED. jmspecialtiesinc.com publishes no phone on any page a search of their domain reaches - they route through a request-service form - so neither the (423) 219-5317 on file nor the 423-624-6563 commercial line from the earlier note has an official source. Try both. OWNERSHIP FOUND: their about page says JM Specialties is now a DIVISION OF GUARDIAN ACCESS SOLUTIONS, which may be the better route in. In the trade since 1963: commercial and residential overhead doors, high-speed doors, loading dock equipment, security gates and grilles, with 24/7 emergency service across Chattanooga and Cleveland TN.</t>
        </is>
      </c>
    </row>
    <row r="275">
      <c r="A275" s="7" t="inlineStr">
        <is>
          <t>A</t>
        </is>
      </c>
      <c r="B275" s="11" t="inlineStr">
        <is>
          <t>Unconfirmed - verify before calling</t>
        </is>
      </c>
      <c r="C275" s="9" t="inlineStr">
        <is>
          <t>L H Lewis Tree Service</t>
        </is>
      </c>
      <c r="D275" s="9" t="inlineStr">
        <is>
          <t>Tree Service</t>
        </is>
      </c>
      <c r="E275" s="9" t="inlineStr">
        <is>
          <t>(423) 843-3593</t>
        </is>
      </c>
      <c r="F275" s="9" t="inlineStr">
        <is>
          <t>Soddy-Daisy</t>
        </is>
      </c>
      <c r="G275" s="9" t="inlineStr">
        <is>
          <t>8307 Dayton Pike</t>
        </is>
      </c>
      <c r="H275" s="9" t="inlineStr">
        <is>
          <t>37379</t>
        </is>
      </c>
      <c r="I275" s="9" t="inlineStr">
        <is>
          <t>lhlewistreeservice@gmail.com</t>
        </is>
      </c>
      <c r="J275" s="9" t="inlineStr">
        <is>
          <t>lhlewistreeservice.com</t>
        </is>
      </c>
      <c r="K275" s="10" t="n"/>
      <c r="L275" s="10" t="n"/>
      <c r="M275" s="10" t="n"/>
      <c r="N275" s="10" t="n"/>
      <c r="O275" s="9" t="inlineStr">
        <is>
          <t>PHONE RE-CHECK 2026-09-04: UNCONFIRMED. lhlewistreeservice.com resolves but two searches of it surface nothing beyond the bare home page - no phone, address or email. The 09-03 details came off a business-run social page rather than the website, so the (423) 843-3593, the 8307 Dayton Pike address and the gmail address are all UNSOURCED by any official page. Tree work means bucket trucks and chippers, so the lead is worth a call to confirm rather than dropping.</t>
        </is>
      </c>
    </row>
    <row r="276">
      <c r="A276" s="7" t="inlineStr">
        <is>
          <t>A</t>
        </is>
      </c>
      <c r="B276" s="11" t="inlineStr">
        <is>
          <t>Unconfirmed - verify before calling</t>
        </is>
      </c>
      <c r="C276" s="9" t="inlineStr">
        <is>
          <t>Landscape Workshop - Chattanooga Branch</t>
        </is>
      </c>
      <c r="D276" s="9" t="inlineStr">
        <is>
          <t>Landscaping</t>
        </is>
      </c>
      <c r="E276" s="9" t="inlineStr">
        <is>
          <t>(423) 899-1212</t>
        </is>
      </c>
      <c r="F276" s="9" t="inlineStr">
        <is>
          <t>Chattanooga</t>
        </is>
      </c>
      <c r="G276" s="9" t="inlineStr">
        <is>
          <t>3903 Volunteer Dr</t>
        </is>
      </c>
      <c r="H276" s="9" t="inlineStr">
        <is>
          <t>37416</t>
        </is>
      </c>
      <c r="I276" s="9" t="inlineStr">
        <is>
          <t>info@landscapeworkshop.com</t>
        </is>
      </c>
      <c r="J276" s="9" t="inlineStr">
        <is>
          <t>landscapeworkshop.com</t>
        </is>
      </c>
      <c r="K276" s="10" t="n"/>
      <c r="L276" s="10" t="n"/>
      <c r="M276" s="10" t="n"/>
      <c r="N276" s="10" t="n"/>
      <c r="O276" s="9" t="inlineStr">
        <is>
          <t>PHONE RE-CHECK 2026-09-04: UNCONFIRMED. landscapeworkshop.com carries the Chattanooga branch at 3903 Volunteer Dr Ste B 37416, but it publishes no branch-level phone anywhere searchable on their own domain - only the Birmingham AL head office, (205) 547-3945, at 550 Montgomery Hwy Ste 200. The (423) 899-1212 on file is UNSOURCED; verify by phone. Route through the head office if the local line is dead. This branch is the former Images Landscape Service, acquired by Landscape Workshop in 2021 - a commercial crew fleet of trucks and trailers.</t>
        </is>
      </c>
    </row>
    <row r="277">
      <c r="A277" s="7" t="inlineStr">
        <is>
          <t>A</t>
        </is>
      </c>
      <c r="B277" s="11" t="inlineStr">
        <is>
          <t>Unconfirmed - verify before calling</t>
        </is>
      </c>
      <c r="C277" s="9" t="inlineStr">
        <is>
          <t>Loomis Armored US, LLC</t>
        </is>
      </c>
      <c r="D277" s="9" t="inlineStr">
        <is>
          <t>Armored Car / Cash-in-Transit</t>
        </is>
      </c>
      <c r="E277" s="9" t="inlineStr">
        <is>
          <t>(423) 622-6043</t>
        </is>
      </c>
      <c r="F277" s="9" t="inlineStr">
        <is>
          <t>Chattanooga</t>
        </is>
      </c>
      <c r="G277" s="9" t="inlineStr">
        <is>
          <t>2305 Dodson Ave Ste B</t>
        </is>
      </c>
      <c r="H277" s="9" t="inlineStr">
        <is>
          <t>37406</t>
        </is>
      </c>
      <c r="I277" s="9" t="n"/>
      <c r="J277" s="9" t="inlineStr">
        <is>
          <t>loomis.us</t>
        </is>
      </c>
      <c r="K277" s="10" t="n"/>
      <c r="L277" s="10" t="n"/>
      <c r="M277" s="10" t="n"/>
      <c r="N277" s="10" t="n"/>
      <c r="O277" s="9" t="inlineStr">
        <is>
          <t>PHONE RE-CHECK 2026-09-04: UNCONFIRMED. loomis.us runs its locations page as a map search that publishes no branch numbers, and two searches of their domain surface only the national Customer Contact Center, 877-877-0560 (6:30-23:30 CT daily). The (423) 622-6043 on file is UNSOURCED; call the 877 line and ask for the Chattanooga branch. Nearly 200 US operating locations. Armored trucks - heavy, hard-used, ballistic glazing on the trucks themselves, so the prize here is their soft-skin support vehicles rather than the armoured fleet.</t>
        </is>
      </c>
    </row>
    <row r="278">
      <c r="A278" s="7" t="inlineStr">
        <is>
          <t>A</t>
        </is>
      </c>
      <c r="B278" s="11" t="inlineStr">
        <is>
          <t>Unconfirmed - verify before calling</t>
        </is>
      </c>
      <c r="C278" s="9" t="inlineStr">
        <is>
          <t>Manzano Masonry</t>
        </is>
      </c>
      <c r="D278" s="9" t="inlineStr">
        <is>
          <t>Masonry / Concrete</t>
        </is>
      </c>
      <c r="E278" s="9" t="inlineStr">
        <is>
          <t>(423) 298-8859</t>
        </is>
      </c>
      <c r="F278" s="9" t="inlineStr">
        <is>
          <t>Soddy-Daisy</t>
        </is>
      </c>
      <c r="G278" s="9" t="inlineStr">
        <is>
          <t>124 Harrison Ln</t>
        </is>
      </c>
      <c r="H278" s="9" t="inlineStr">
        <is>
          <t>37379</t>
        </is>
      </c>
      <c r="I278" s="9" t="n"/>
      <c r="J278" s="9" t="inlineStr">
        <is>
          <t>manzanomasonry.com</t>
        </is>
      </c>
      <c r="K278" s="10" t="n"/>
      <c r="L278" s="10" t="n"/>
      <c r="M278" s="10" t="n"/>
      <c r="N278" s="10" t="n"/>
      <c r="O278" s="9" t="inlineStr">
        <is>
          <t>PHONE RE-CHECK 2026-09-04: UNCONFIRMED, and the county is wrong. manzanomasonry.com publishes no phone number on any page reachable by search, so the (423) 298-8859 is UNSOURCED. Their own about page places Manzano Masonry Group LLC in DAYTON, TN - Rhea County - and lists Soddy-Daisy only as a SERVICE AREA alongside Dayton and Decatur, so the 124 Harrison Ln, Soddy-Daisy address on this row is not a location they claim. FLAG FOR OUT-OF-COUNTY REVIEW: on their own account this is a Rhea County business working into Hamilton, not a Hamilton County one. Family-owned; retaining walls, custom fireplaces and historic restoration.</t>
        </is>
      </c>
    </row>
    <row r="279">
      <c r="A279" s="7" t="inlineStr">
        <is>
          <t>A</t>
        </is>
      </c>
      <c r="B279" s="11" t="inlineStr">
        <is>
          <t>Unconfirmed - verify before calling</t>
        </is>
      </c>
      <c r="C279" s="9" t="inlineStr">
        <is>
          <t>McKee Foods Transportation LLC</t>
        </is>
      </c>
      <c r="D279" s="9" t="inlineStr">
        <is>
          <t>Trucking / Logistics</t>
        </is>
      </c>
      <c r="E279" s="9" t="inlineStr">
        <is>
          <t>(423) 238-7111</t>
        </is>
      </c>
      <c r="F279" s="9" t="inlineStr">
        <is>
          <t>Collegedale</t>
        </is>
      </c>
      <c r="G279" s="9" t="inlineStr">
        <is>
          <t>10260 McKee Road</t>
        </is>
      </c>
      <c r="H279" s="9" t="inlineStr">
        <is>
          <t>37315</t>
        </is>
      </c>
      <c r="I279" s="9" t="inlineStr">
        <is>
          <t>careers@mckee.com</t>
        </is>
      </c>
      <c r="J279" s="9" t="n"/>
      <c r="K279" s="10" t="n"/>
      <c r="L279" s="10" t="n"/>
      <c r="M279" s="10" t="n"/>
      <c r="N279" s="10" t="n"/>
      <c r="O279" s="9" t="inlineStr">
        <is>
          <t>Recorded 2026-09-04 under the relaxed rule. The subsidiary has no site of its own; this is the McKee Foods corporate line - ask for transportation. The fleet size is the point: this is one of the largest private fleets in the county.</t>
        </is>
      </c>
    </row>
    <row r="280">
      <c r="A280" s="7" t="inlineStr">
        <is>
          <t>A</t>
        </is>
      </c>
      <c r="B280" s="11" t="inlineStr">
        <is>
          <t>Unconfirmed - verify before calling</t>
        </is>
      </c>
      <c r="C280" s="9" t="inlineStr">
        <is>
          <t>MORGAN CONSTRUCTION COMPANY</t>
        </is>
      </c>
      <c r="D280" s="9" t="inlineStr">
        <is>
          <t>Commercial General Contractor</t>
        </is>
      </c>
      <c r="E280" s="9" t="inlineStr">
        <is>
          <t>(423) 266-6218</t>
        </is>
      </c>
      <c r="F280" s="9" t="inlineStr">
        <is>
          <t>Chattanooga</t>
        </is>
      </c>
      <c r="G280" s="9" t="inlineStr">
        <is>
          <t>690 Manufacturers Road Suite 100</t>
        </is>
      </c>
      <c r="H280" s="9" t="inlineStr">
        <is>
          <t>37405</t>
        </is>
      </c>
      <c r="I280" s="9" t="n"/>
      <c r="J280" s="9" t="inlineStr">
        <is>
          <t>morganconstruction.com</t>
        </is>
      </c>
      <c r="K280" s="10" t="n"/>
      <c r="L280" s="10" t="n"/>
      <c r="M280" s="10" t="n"/>
      <c r="N280" s="10" t="n"/>
      <c r="O280" s="9" t="inlineStr">
        <is>
          <t>PHONE RE-CHECK 2026-09-04: UNCONFIRMED. morganconstruction.com re-confirms the address, 690 Manufacturers Rd Suite 100, 37405, but publishes no phone number a search of their domain will surface, so the (423) 266-6218 on file is UNSOURCED. Their markets pages are broad - education and municipal, healthcare and senior living, hospitality and multifamily, office adaptive reuse, retail and grocery - which is consistent with the 40-year multi-state GC in the earlier note and means superintendent trucks travelling constantly. Bids go through their Bid Information page; no email published. The Wes Bonds steer did not resurface this time, so treat that name as unconfirmed too.</t>
        </is>
      </c>
    </row>
    <row r="281">
      <c r="A281" s="7" t="inlineStr">
        <is>
          <t>A</t>
        </is>
      </c>
      <c r="B281" s="11" t="inlineStr">
        <is>
          <t>Unconfirmed - verify before calling</t>
        </is>
      </c>
      <c r="C281" s="9" t="inlineStr">
        <is>
          <t>Mountain City Service, Inc. (HVAC &amp; Plumbing)</t>
        </is>
      </c>
      <c r="D281" s="9" t="inlineStr">
        <is>
          <t>HVAC / Plumbing Contractor</t>
        </is>
      </c>
      <c r="E281" s="9" t="inlineStr">
        <is>
          <t>(423) 801-1016</t>
        </is>
      </c>
      <c r="F281" s="9" t="inlineStr">
        <is>
          <t>Signal Mountain</t>
        </is>
      </c>
      <c r="G281" s="9" t="inlineStr">
        <is>
          <t>2408 Taft Hwy</t>
        </is>
      </c>
      <c r="H281" s="9" t="inlineStr">
        <is>
          <t>37377</t>
        </is>
      </c>
      <c r="I281" s="9" t="n"/>
      <c r="J281" s="9" t="inlineStr">
        <is>
          <t>mountaincityservice.com</t>
        </is>
      </c>
      <c r="K281" s="10" t="n"/>
      <c r="L281" s="10" t="n"/>
      <c r="M281" s="10" t="n"/>
      <c r="N281" s="10" t="n"/>
      <c r="O281" s="9" t="inlineStr">
        <is>
          <t>WEBSITE CORRECTED 2026-09-04: the row pointed at a Facebook page. Their real site is mountaincityservice.com - it carries a Signal Mountain HVAC page, a commercial plumbing division and HVAC service-area pages out to Jasper and Kimball, describing them as a full mechanical and plumbing contractor across southeast Tennessee and north Georgia with 24/7 emergency service. PHONE STILL UNCONFIRMED: even their own site does not surface a number to search, so the (423) 801-1016 on file remains UNSOURCED - but the business is now solidly verified, which it was not before. Incorporated 2002 by David Broome and David Smith (per third-party records, so treat the names as a lead, not a fact).</t>
        </is>
      </c>
    </row>
    <row r="282">
      <c r="A282" s="7" t="inlineStr">
        <is>
          <t>A</t>
        </is>
      </c>
      <c r="B282" s="11" t="inlineStr">
        <is>
          <t>Unconfirmed - verify before calling</t>
        </is>
      </c>
      <c r="C282" s="9" t="inlineStr">
        <is>
          <t>Nooga Door Company</t>
        </is>
      </c>
      <c r="D282" s="9" t="inlineStr">
        <is>
          <t>Garage Door Installation / Repair</t>
        </is>
      </c>
      <c r="E282" s="9" t="inlineStr">
        <is>
          <t>(423) 842-5098</t>
        </is>
      </c>
      <c r="F282" s="9" t="inlineStr">
        <is>
          <t>Soddy-Daisy</t>
        </is>
      </c>
      <c r="G282" s="9" t="inlineStr">
        <is>
          <t>8857 Dayton Pike</t>
        </is>
      </c>
      <c r="H282" s="9" t="inlineStr">
        <is>
          <t>37379</t>
        </is>
      </c>
      <c r="I282" s="9" t="n"/>
      <c r="J282" s="9" t="n"/>
      <c r="K282" s="10" t="n"/>
      <c r="L282" s="10" t="n"/>
      <c r="M282" s="10" t="n"/>
      <c r="N282" s="10" t="n"/>
      <c r="O282" s="9" t="inlineStr">
        <is>
          <t>Gap-filled 2026-09-04: open Google search found no official website. Directories put them at 8857 Dayton Pike doing garage door service, which matches the row. Phone unconfirmed by any official source.</t>
        </is>
      </c>
    </row>
    <row r="283">
      <c r="A283" s="7" t="inlineStr">
        <is>
          <t>A</t>
        </is>
      </c>
      <c r="B283" s="11" t="inlineStr">
        <is>
          <t>Unconfirmed - verify before calling</t>
        </is>
      </c>
      <c r="C283" s="9" t="inlineStr">
        <is>
          <t>Nooga Lawn and Landscaping</t>
        </is>
      </c>
      <c r="D283" s="9" t="inlineStr">
        <is>
          <t>Landscaping</t>
        </is>
      </c>
      <c r="E283" s="9" t="inlineStr">
        <is>
          <t>(423) 637-6874</t>
        </is>
      </c>
      <c r="F283" s="9" t="inlineStr">
        <is>
          <t>Soddy-Daisy</t>
        </is>
      </c>
      <c r="G283" s="9" t="inlineStr">
        <is>
          <t>8414 Gulf View Dr</t>
        </is>
      </c>
      <c r="H283" s="9" t="inlineStr">
        <is>
          <t>37379</t>
        </is>
      </c>
      <c r="I283" s="9" t="n"/>
      <c r="J283" s="9" t="n"/>
      <c r="K283" s="10" t="n"/>
      <c r="L283" s="10" t="n"/>
      <c r="M283" s="10" t="n"/>
      <c r="N283" s="10" t="n"/>
      <c r="O283" s="9" t="inlineStr">
        <is>
          <t>Gap-filled 2026-09-04: open Google search found no official website. Directories describe hardscapes, lighting, patios, retaining walls and an irrigation crew out of 8414 Gulf View Dr, which matches the row, but none of it is self-published. Phone unconfirmed.</t>
        </is>
      </c>
    </row>
    <row r="284">
      <c r="A284" s="7" t="inlineStr">
        <is>
          <t>A</t>
        </is>
      </c>
      <c r="B284" s="11" t="inlineStr">
        <is>
          <t>Unconfirmed - verify before calling</t>
        </is>
      </c>
      <c r="C284" s="9" t="inlineStr">
        <is>
          <t>Parman Energy Group, LLC</t>
        </is>
      </c>
      <c r="D284" s="9" t="inlineStr">
        <is>
          <t>Fuel Oil / Bulk Fuel Delivery</t>
        </is>
      </c>
      <c r="E284" s="9" t="inlineStr">
        <is>
          <t>(423) 629-3888</t>
        </is>
      </c>
      <c r="F284" s="9" t="inlineStr">
        <is>
          <t>Chattanooga</t>
        </is>
      </c>
      <c r="G284" s="9" t="inlineStr">
        <is>
          <t>1110 Stuart St</t>
        </is>
      </c>
      <c r="H284" s="9" t="inlineStr">
        <is>
          <t>37406</t>
        </is>
      </c>
      <c r="I284" s="9" t="n"/>
      <c r="J284" s="9" t="inlineStr">
        <is>
          <t>parmanenergy.com</t>
        </is>
      </c>
      <c r="K284" s="10" t="n"/>
      <c r="L284" s="10" t="n"/>
      <c r="M284" s="10" t="n"/>
      <c r="N284" s="10" t="n"/>
      <c r="O284" s="9" t="inlineStr">
        <is>
          <t>PHONE RE-CHECK 2026-09-04: UNCONFIRMED. Three searches of parmanenergy.com surface no Chattanooga branch at all - no 1110 Stuart St page and no 423 number - only the Nashville HQ at 7101 Cockrill Bend Blvd on (800) 727-7920. The (423) 629-3888 on file is UNSOURCED; call the 800 line and ask for the Chattanooga terminal before relying on it. Their contact page also renders under the title 'All Seasons P.H.E., Inc.', so the site is carrying another entity's page - treat anything read off it with care. Bulk fuel and lubricant distributor: if the terminal is real it runs tankers and lube trucks.</t>
        </is>
      </c>
    </row>
    <row r="285">
      <c r="A285" s="7" t="inlineStr">
        <is>
          <t>A</t>
        </is>
      </c>
      <c r="B285" s="11" t="inlineStr">
        <is>
          <t>Unconfirmed - verify before calling</t>
        </is>
      </c>
      <c r="C285" s="9" t="inlineStr">
        <is>
          <t>PGC LLC</t>
        </is>
      </c>
      <c r="D285" s="9" t="inlineStr">
        <is>
          <t>Commercial General Contractor</t>
        </is>
      </c>
      <c r="E285" s="9" t="inlineStr">
        <is>
          <t>(423) 755-0845</t>
        </is>
      </c>
      <c r="F285" s="9" t="inlineStr">
        <is>
          <t>Chattanooga</t>
        </is>
      </c>
      <c r="G285" s="9" t="inlineStr">
        <is>
          <t>1209 Pointe Centre Drive Suite 105</t>
        </is>
      </c>
      <c r="H285" s="9" t="inlineStr">
        <is>
          <t>37421</t>
        </is>
      </c>
      <c r="I285" s="9" t="n"/>
      <c r="J285" s="9" t="inlineStr">
        <is>
          <t>pointegc.com</t>
        </is>
      </c>
      <c r="K285" s="10" t="n"/>
      <c r="L285" s="10" t="n"/>
      <c r="M285" s="10" t="n"/>
      <c r="N285" s="10" t="n"/>
      <c r="O285" s="9" t="inlineStr">
        <is>
          <t>PHONE RE-CHECK 2026-09-04: UNCONFIRMED - AND THIS ROW IS A DUPLICATE. pointegc.com confirms Pointe General Contractors as a full-service GC headquartered in Chattanooga, but publishes no phone anywhere searchable, so the (423) 755-0845 is UNSOURCED. THAT IS THE SAME NUMBER AND THE SAME COMPANY AS ROW 67, 'Pointe General Contractors LLC', which was flagged UNCONFIRMED on 09-04 for exactly the same reason - PGC is simply their initials. The two rows should be merged; do not call twice. The 09-03 address call (Pointe Centre Drive over the record's 1300 Premier Drive) stands, and their Vendor/Bid Opportunities page remains the practical way in for a supplier.</t>
        </is>
      </c>
    </row>
    <row r="286">
      <c r="A286" s="7" t="inlineStr">
        <is>
          <t>A</t>
        </is>
      </c>
      <c r="B286" s="11" t="inlineStr">
        <is>
          <t>Unconfirmed - verify before calling</t>
        </is>
      </c>
      <c r="C286" s="9" t="inlineStr">
        <is>
          <t>Pointe General Contractors LLC</t>
        </is>
      </c>
      <c r="D286" s="9" t="inlineStr">
        <is>
          <t>General Contractor</t>
        </is>
      </c>
      <c r="E286" s="9" t="inlineStr">
        <is>
          <t>(423) 755-0845</t>
        </is>
      </c>
      <c r="F286" s="9" t="inlineStr">
        <is>
          <t>Chattanooga</t>
        </is>
      </c>
      <c r="G286" s="9" t="inlineStr">
        <is>
          <t>1209 Pointe Centre Dr Ste 105</t>
        </is>
      </c>
      <c r="H286" s="9" t="inlineStr">
        <is>
          <t>37421</t>
        </is>
      </c>
      <c r="I286" s="9" t="n"/>
      <c r="J286" s="9" t="inlineStr">
        <is>
          <t>pointegeneralcontractors.com</t>
        </is>
      </c>
      <c r="K286" s="10" t="n"/>
      <c r="L286" s="10" t="n"/>
      <c r="M286" s="10" t="n"/>
      <c r="N286" s="10" t="n"/>
      <c r="O286" s="9" t="inlineStr">
        <is>
          <t>OFFICIAL SITE 2026-09-04: site is live (home, about, projects and a vendor/bid page) but publishes NO phone number anywhere - only a form. The (423) 755-0845 on file is UNCONFIRMED; verify by phone. Their Vendor/Bids page is the practical way in: they solicit subcontractors directly through it. DUPLICATE FOUND 2026-09-05: row 611, 'PGC LLC' on pointegc.com, is THIS SAME COMPANY - same (423) 755-0845, same GC, PGC being simply their initials, and it publishes no phone either. They run two domains: pointegeneralcontractors.com and pointegc.com. The two rows should be merged; do not call twice.</t>
        </is>
      </c>
    </row>
    <row r="287">
      <c r="A287" s="7" t="inlineStr">
        <is>
          <t>A</t>
        </is>
      </c>
      <c r="B287" s="11" t="inlineStr">
        <is>
          <t>Unconfirmed - verify before calling</t>
        </is>
      </c>
      <c r="C287" s="9" t="inlineStr">
        <is>
          <t>Ray's Towing Service</t>
        </is>
      </c>
      <c r="D287" s="9" t="inlineStr">
        <is>
          <t>Towing</t>
        </is>
      </c>
      <c r="E287" s="9" t="inlineStr">
        <is>
          <t>(423) 875-6694</t>
        </is>
      </c>
      <c r="F287" s="9" t="inlineStr">
        <is>
          <t>Red Bank</t>
        </is>
      </c>
      <c r="G287" s="9" t="inlineStr">
        <is>
          <t>3003 Dayton Boulevard</t>
        </is>
      </c>
      <c r="H287" s="9" t="inlineStr">
        <is>
          <t>37415</t>
        </is>
      </c>
      <c r="I287" s="9" t="n"/>
      <c r="J287" s="9" t="n"/>
      <c r="K287" s="10" t="n"/>
      <c r="L287" s="10" t="n"/>
      <c r="M287" s="10" t="n"/>
      <c r="N287" s="10" t="n"/>
      <c r="O287" s="9" t="inlineStr">
        <is>
          <t>Recorded 2026-09-04 under the relaxed rule. No official website - do not confuse with raystowing615.wixsite.com, which is a different Ray's Towing in Nashville on a 615 number. In business 30+ years; towing, roadside, lockouts, winch-outs.</t>
        </is>
      </c>
    </row>
    <row r="288">
      <c r="A288" s="7" t="inlineStr">
        <is>
          <t>A</t>
        </is>
      </c>
      <c r="B288" s="11" t="inlineStr">
        <is>
          <t>Unconfirmed - verify before calling</t>
        </is>
      </c>
      <c r="C288" s="9" t="inlineStr">
        <is>
          <t>Red Bank Electric</t>
        </is>
      </c>
      <c r="D288" s="9" t="inlineStr">
        <is>
          <t>Electrical Contractor</t>
        </is>
      </c>
      <c r="E288" s="9" t="inlineStr">
        <is>
          <t>(423) 870-2625</t>
        </is>
      </c>
      <c r="F288" s="9" t="inlineStr">
        <is>
          <t>Red Bank</t>
        </is>
      </c>
      <c r="G288" s="9" t="inlineStr">
        <is>
          <t>101 Freudenburg Lane</t>
        </is>
      </c>
      <c r="H288" s="9" t="inlineStr">
        <is>
          <t>37415</t>
        </is>
      </c>
      <c r="I288" s="9" t="n"/>
      <c r="J288" s="9" t="n"/>
      <c r="K288" s="10" t="n"/>
      <c r="L288" s="10" t="n"/>
      <c r="M288" s="10" t="n"/>
      <c r="N288" s="10" t="n"/>
      <c r="O288" s="9" t="inlineStr">
        <is>
          <t>Recorded 2026-09-04 under the relaxed rule. No official website. Ask for Ronnie Lamb. Covers most of the county - Hixson, Ooltewah, Harrison, Signal Mountain, Soddy Daisy, East Ridge and more - so the vans cover real miles.</t>
        </is>
      </c>
    </row>
    <row r="289">
      <c r="A289" s="7" t="inlineStr">
        <is>
          <t>A</t>
        </is>
      </c>
      <c r="B289" s="11" t="inlineStr">
        <is>
          <t>Unconfirmed - verify before calling</t>
        </is>
      </c>
      <c r="C289" s="9" t="inlineStr">
        <is>
          <t>Repair Pros Services, Inc.</t>
        </is>
      </c>
      <c r="D289" s="9" t="inlineStr">
        <is>
          <t>Commercial Refrigeration / Kitchen Equipment / HVAC</t>
        </is>
      </c>
      <c r="E289" s="9" t="inlineStr">
        <is>
          <t>(423) 290-4946</t>
        </is>
      </c>
      <c r="F289" s="9" t="inlineStr">
        <is>
          <t>Chattanooga</t>
        </is>
      </c>
      <c r="G289" s="9" t="n"/>
      <c r="H289" s="9" t="n"/>
      <c r="I289" s="9" t="n"/>
      <c r="J289" s="9" t="inlineStr">
        <is>
          <t>repairprosservices.com</t>
        </is>
      </c>
      <c r="K289" s="10" t="n"/>
      <c r="L289" s="10" t="n"/>
      <c r="M289" s="10" t="n"/>
      <c r="N289" s="10" t="n"/>
      <c r="O289" s="9" t="inlineStr">
        <is>
          <t>PHONE RE-CHECK 2026-09-04: UNCONFIRMED. repairprosservices.com is live and clearly active - a running blog through 2026 on walk-in coolers, ice machines and commercial HVAC - but publishes no phone number a search of their domain will surface, and no street address. The (423) 290-4946 on file is UNSOURCED. The business itself is not in doubt: full-service restaurant equipment, commercial refrigeration and HVAC across Chattanooga, with techs driving between accounts all day.</t>
        </is>
      </c>
    </row>
    <row r="290">
      <c r="A290" s="7" t="inlineStr">
        <is>
          <t>A</t>
        </is>
      </c>
      <c r="B290" s="11" t="inlineStr">
        <is>
          <t>Unconfirmed - verify before calling</t>
        </is>
      </c>
      <c r="C290" s="9" t="inlineStr">
        <is>
          <t>Rytech Restoration of Greater Chattanooga</t>
        </is>
      </c>
      <c r="D290" s="9" t="inlineStr">
        <is>
          <t>Restoration (Water/Mold)</t>
        </is>
      </c>
      <c r="E290" s="9" t="inlineStr">
        <is>
          <t>(423) 896-2808</t>
        </is>
      </c>
      <c r="F290" s="9" t="inlineStr">
        <is>
          <t>Ooltewah</t>
        </is>
      </c>
      <c r="G290" s="9" t="inlineStr">
        <is>
          <t>9460 Factory St</t>
        </is>
      </c>
      <c r="H290" s="9" t="inlineStr">
        <is>
          <t>37363</t>
        </is>
      </c>
      <c r="I290" s="9" t="n"/>
      <c r="J290" s="9" t="inlineStr">
        <is>
          <t>chattanooga.rytechinc.com</t>
        </is>
      </c>
      <c r="K290" s="10" t="n"/>
      <c r="L290" s="10" t="n"/>
      <c r="M290" s="10" t="n"/>
      <c r="N290" s="10" t="n"/>
      <c r="O290" s="9" t="inlineStr">
        <is>
          <t>OFFICIAL SITE: phone (423) 896-2808 RE-CONFIRMED 2026-09-04 - it is published in their own page titles. Their site does not publish the Factory St address, so that line is unconfirmed. 24/7 water, fire and mould restoration covering Chattanooga and NW Georgia, Birchwood and Apison - a van fleet running emergency calls at all hours.</t>
        </is>
      </c>
    </row>
    <row r="291">
      <c r="A291" s="7" t="inlineStr">
        <is>
          <t>A</t>
        </is>
      </c>
      <c r="B291" s="11" t="inlineStr">
        <is>
          <t>Unconfirmed - verify before calling</t>
        </is>
      </c>
      <c r="C291" s="9" t="inlineStr">
        <is>
          <t>S &amp; H Tree Service</t>
        </is>
      </c>
      <c r="D291" s="9" t="inlineStr">
        <is>
          <t>Tree Service</t>
        </is>
      </c>
      <c r="E291" s="9" t="inlineStr">
        <is>
          <t>(423) 451-0437</t>
        </is>
      </c>
      <c r="F291" s="9" t="inlineStr">
        <is>
          <t>Soddy-Daisy</t>
        </is>
      </c>
      <c r="G291" s="9" t="inlineStr">
        <is>
          <t>208 Daisy Ave</t>
        </is>
      </c>
      <c r="H291" s="9" t="inlineStr">
        <is>
          <t>37379</t>
        </is>
      </c>
      <c r="I291" s="9" t="n"/>
      <c r="J291" s="9" t="n"/>
      <c r="K291" s="10" t="n"/>
      <c r="L291" s="10" t="n"/>
      <c r="M291" s="10" t="n"/>
      <c r="N291" s="10" t="n"/>
      <c r="O291" s="9" t="inlineStr">
        <is>
          <t>Gap-filled 2026-09-04: open Google search found no official website - the results are crowded with other Soddy-Daisy tree companies, none of them this one. Phone and address on the row remain unconfirmed.</t>
        </is>
      </c>
    </row>
    <row r="292">
      <c r="A292" s="7" t="inlineStr">
        <is>
          <t>A</t>
        </is>
      </c>
      <c r="B292" s="11" t="inlineStr">
        <is>
          <t>Unconfirmed - verify before calling</t>
        </is>
      </c>
      <c r="C292" s="9" t="inlineStr">
        <is>
          <t>Snider Fleet Solutions</t>
        </is>
      </c>
      <c r="D292" s="9" t="inlineStr">
        <is>
          <t>Automotive Fleet Service Company</t>
        </is>
      </c>
      <c r="E292" s="9" t="inlineStr">
        <is>
          <t>(423) 352-9150</t>
        </is>
      </c>
      <c r="F292" s="9" t="inlineStr">
        <is>
          <t>Chattanooga</t>
        </is>
      </c>
      <c r="G292" s="9" t="inlineStr">
        <is>
          <t>6114 Bonny Oaks Dr</t>
        </is>
      </c>
      <c r="H292" s="9" t="inlineStr">
        <is>
          <t>37416</t>
        </is>
      </c>
      <c r="I292" s="9" t="n"/>
      <c r="J292" s="9" t="inlineStr">
        <is>
          <t>sniderfleet.com</t>
        </is>
      </c>
      <c r="K292" s="10" t="n"/>
      <c r="L292" s="10" t="n"/>
      <c r="M292" s="10" t="n"/>
      <c r="N292" s="10" t="n"/>
      <c r="O292" s="9" t="inlineStr">
        <is>
          <t>OFFICIAL SITE 2026-09-04: 6114 Bonny Oaks Dr and hours Mon-Fri 7:30-17:00 confirmed, but their location page publishes NO direct local number - only corporate 800-528-2840 and 24/7 roadside 1-877-8SNIDER. The (423) 352-9150 on file is therefore UNCONFIRMED; verify by phone before relying on it. Commercial tire and mechanical service branch - a fleet-service peer worth a reciprocal-referral conversation.</t>
        </is>
      </c>
    </row>
    <row r="293">
      <c r="A293" s="7" t="inlineStr">
        <is>
          <t>A</t>
        </is>
      </c>
      <c r="B293" s="11" t="inlineStr">
        <is>
          <t>Unconfirmed - verify before calling</t>
        </is>
      </c>
      <c r="C293" s="9" t="inlineStr">
        <is>
          <t>Southern Energy Water &amp; Air, LLC</t>
        </is>
      </c>
      <c r="D293" s="9" t="inlineStr">
        <is>
          <t>Plumbing, HVAC &amp; Water Treatment</t>
        </is>
      </c>
      <c r="E293" s="9" t="inlineStr">
        <is>
          <t>(423) 800-5902</t>
        </is>
      </c>
      <c r="F293" s="9" t="inlineStr">
        <is>
          <t>Chattanooga</t>
        </is>
      </c>
      <c r="G293" s="9" t="n"/>
      <c r="H293" s="9" t="inlineStr">
        <is>
          <t>37408</t>
        </is>
      </c>
      <c r="I293" s="9" t="n"/>
      <c r="J293" s="9" t="inlineStr">
        <is>
          <t>southernewa.com</t>
        </is>
      </c>
      <c r="K293" s="10" t="n"/>
      <c r="L293" s="10" t="n"/>
      <c r="M293" s="10" t="n"/>
      <c r="N293" s="10" t="n"/>
      <c r="O293" s="9" t="inlineStr">
        <is>
          <t>PHONE RE-CHECK 2026-09-04: UNCONFIRMED. southernewa.com is live and detailed - HVAC, plumbing, water heaters, water and air purification, solar - but publishes no phone a search of their domain will surface, so the (423) 800-5902 on file is UNSOURCED. TWO MARKETS CONFIRMED: they run a dedicated KNOXVILLE page alongside Chattanooga, so service vans cover both, which strengthens the lead once the number is verified. Still no street address on the site, so the record's 949 Taft Avenue stays off - and note the earlier caution that MEG Controls uses the same building.</t>
        </is>
      </c>
    </row>
    <row r="294">
      <c r="A294" s="7" t="inlineStr">
        <is>
          <t>A</t>
        </is>
      </c>
      <c r="B294" s="11" t="inlineStr">
        <is>
          <t>Unconfirmed - verify before calling</t>
        </is>
      </c>
      <c r="C294" s="9" t="inlineStr">
        <is>
          <t>Southern Spear Ironworks LLC</t>
        </is>
      </c>
      <c r="D294" s="9" t="inlineStr">
        <is>
          <t>Steel Fabrication &amp; Erection</t>
        </is>
      </c>
      <c r="E294" s="9" t="inlineStr">
        <is>
          <t>(423) 498-2862</t>
        </is>
      </c>
      <c r="F294" s="9" t="inlineStr">
        <is>
          <t>Chattanooga</t>
        </is>
      </c>
      <c r="G294" s="9" t="inlineStr">
        <is>
          <t>55 Workman Road</t>
        </is>
      </c>
      <c r="H294" s="9" t="inlineStr">
        <is>
          <t>37410</t>
        </is>
      </c>
      <c r="I294" s="9" t="inlineStr">
        <is>
          <t>bids@thesouthernspear.com</t>
        </is>
      </c>
      <c r="J294" s="9" t="inlineStr">
        <is>
          <t>thesouthernspear.com</t>
        </is>
      </c>
      <c r="K294" s="10" t="n"/>
      <c r="L294" s="10" t="n"/>
      <c r="M294" s="10" t="n"/>
      <c r="N294" s="10" t="n"/>
      <c r="O294" s="9" t="inlineStr">
        <is>
          <t>OFFICIAL SITE 2026-09-04: phone (423) 498-2862 and address 55 Workman Road 37410 RE-CONFIRMED, plus a SECOND LINE, 423-667-8063. NAMED CONTACT DIFFERS FROM THE EARLIER NOTE: this pass surfaces Sean@SOUTHERNSPEAR.COM - note that email domain drops the 'the' from the website, thesouthernspear.com, but both are theirs. The bids@thesouthernspear.com on file still reaches estimating; treat Nick Crumley from the 09-03 note as unconfirmed and ask for Sean. Their project list backs the reach: McMurdo ALASKA, Dalton State College, the Red Wolves pro soccer stadium and Hanger Cleveland. Steel fabrication plus erection crews and 3D laser scanning - flatbeds, boom trucks and crew pickups. Still one of the strongest leads left.</t>
        </is>
      </c>
    </row>
    <row r="295">
      <c r="A295" s="7" t="inlineStr">
        <is>
          <t>A</t>
        </is>
      </c>
      <c r="B295" s="11" t="inlineStr">
        <is>
          <t>Unconfirmed - verify before calling</t>
        </is>
      </c>
      <c r="C295" s="9" t="inlineStr">
        <is>
          <t>Stanley Excavation And Grading</t>
        </is>
      </c>
      <c r="D295" s="9" t="inlineStr">
        <is>
          <t>Excavation, Grading &amp; Land Clearing</t>
        </is>
      </c>
      <c r="E295" s="9" t="inlineStr">
        <is>
          <t>(423) 413-7176</t>
        </is>
      </c>
      <c r="F295" s="9" t="inlineStr">
        <is>
          <t>Chattanooga</t>
        </is>
      </c>
      <c r="G295" s="9" t="n"/>
      <c r="H295" s="9" t="inlineStr">
        <is>
          <t>37403</t>
        </is>
      </c>
      <c r="I295" s="9" t="n"/>
      <c r="J295" s="9" t="inlineStr">
        <is>
          <t>stanleyexcavationgrading.com</t>
        </is>
      </c>
      <c r="K295" s="10" t="n"/>
      <c r="L295" s="10" t="n"/>
      <c r="M295" s="10" t="n"/>
      <c r="N295" s="10" t="n"/>
      <c r="O295" s="9" t="inlineStr">
        <is>
          <t>PHONE RE-CHECK 2026-09-04: UNCONFIRMED. stanleyexcavationgrading.com is live with real service pages - land clearing, grading, site prep, basements and footers, erosion control, storm-water drainage - but publishes no phone or street address a search of their domain will surface, so the (423) 413-7176 on file is UNSOURCED and the record's 1004 East 10th Street stays off. Heavy-equipment work: dump trucks, lowboys hauling machines and crew pickups on rough sites. Worth chasing the number rather than dropping the lead.</t>
        </is>
      </c>
    </row>
    <row r="296">
      <c r="A296" s="7" t="inlineStr">
        <is>
          <t>A</t>
        </is>
      </c>
      <c r="B296" s="11" t="inlineStr">
        <is>
          <t>Unconfirmed - verify before calling</t>
        </is>
      </c>
      <c r="C296" s="9" t="inlineStr">
        <is>
          <t>Tennessee Valley Excavation</t>
        </is>
      </c>
      <c r="D296" s="9" t="inlineStr">
        <is>
          <t>Excavation</t>
        </is>
      </c>
      <c r="E296" s="9" t="inlineStr">
        <is>
          <t>(423) 693-8558</t>
        </is>
      </c>
      <c r="F296" s="9" t="inlineStr">
        <is>
          <t>Ooltewah</t>
        </is>
      </c>
      <c r="G296" s="9" t="inlineStr">
        <is>
          <t>8935 Grey Mountain Drive</t>
        </is>
      </c>
      <c r="H296" s="9" t="inlineStr">
        <is>
          <t>37363</t>
        </is>
      </c>
      <c r="I296" s="9" t="n"/>
      <c r="J296" s="9" t="n"/>
      <c r="K296" s="10" t="n"/>
      <c r="L296" s="10" t="n"/>
      <c r="M296" s="10" t="n"/>
      <c r="N296" s="10" t="n"/>
      <c r="O296" s="9" t="inlineStr">
        <is>
          <t>Recorded 2026-09-04 under the relaxed rule, but no phone could be found on Google at all - address only. Note the name appears as both Excavation and Excavating, and there is a similarly named firm in Seymour TN, so confirm which one you have.</t>
        </is>
      </c>
    </row>
    <row r="297">
      <c r="A297" s="7" t="inlineStr">
        <is>
          <t>A</t>
        </is>
      </c>
      <c r="B297" s="11" t="inlineStr">
        <is>
          <t>Unconfirmed - verify before calling</t>
        </is>
      </c>
      <c r="C297" s="9" t="inlineStr">
        <is>
          <t>Tennessee Valley Protective Services (TVPS)</t>
        </is>
      </c>
      <c r="D297" s="9" t="inlineStr">
        <is>
          <t>Security Guard / Mobile Patrol</t>
        </is>
      </c>
      <c r="E297" s="9" t="inlineStr">
        <is>
          <t>(423) 401-0438</t>
        </is>
      </c>
      <c r="F297" s="9" t="inlineStr">
        <is>
          <t>Chattanooga</t>
        </is>
      </c>
      <c r="G297" s="9" t="inlineStr">
        <is>
          <t>1200 Mountain Creek Rd, Suite 485-2</t>
        </is>
      </c>
      <c r="H297" s="9" t="inlineStr">
        <is>
          <t>37405</t>
        </is>
      </c>
      <c r="I297" s="9" t="inlineStr">
        <is>
          <t>info@tvps.biz</t>
        </is>
      </c>
      <c r="J297" s="9" t="inlineStr">
        <is>
          <t>tvps.biz</t>
        </is>
      </c>
      <c r="K297" s="10" t="n"/>
      <c r="L297" s="10" t="n"/>
      <c r="M297" s="10" t="n"/>
      <c r="N297" s="10" t="n"/>
      <c r="O297" s="9" t="inlineStr">
        <is>
          <t>PHONE RE-CHECK 2026-09-04: UNCONFIRMED. tvps.biz publishes no phone on any page a search of their domain reaches - on-site services, patrol, training and employment pages all route to a contact form - so neither the (423) 401-0438 on file nor the 423-888-5222 dispatch line from the earlier note has an official source. Try both, dispatch first. The company checks out: state-licensed and insured, Chattanooga-based, run by former law enforcement and security management with 25+ years combined. Marked patrol vehicles running all night is exactly the wear pattern worth quoting.</t>
        </is>
      </c>
    </row>
    <row r="298">
      <c r="A298" s="7" t="inlineStr">
        <is>
          <t>A</t>
        </is>
      </c>
      <c r="B298" s="11" t="inlineStr">
        <is>
          <t>Unconfirmed - verify before calling</t>
        </is>
      </c>
      <c r="C298" s="9" t="inlineStr">
        <is>
          <t>Tim Payne Painting</t>
        </is>
      </c>
      <c r="D298" s="9" t="inlineStr">
        <is>
          <t>Commercial Painting &amp; Pressure Washing</t>
        </is>
      </c>
      <c r="E298" s="9" t="inlineStr">
        <is>
          <t>(423) 498-3799</t>
        </is>
      </c>
      <c r="F298" s="9" t="inlineStr">
        <is>
          <t>Chattanooga</t>
        </is>
      </c>
      <c r="G298" s="9" t="n"/>
      <c r="H298" s="9" t="inlineStr">
        <is>
          <t>37421</t>
        </is>
      </c>
      <c r="I298" s="9" t="inlineStr">
        <is>
          <t>spayne@timpaynepainters.com</t>
        </is>
      </c>
      <c r="J298" s="9" t="inlineStr">
        <is>
          <t>timpaynepainters.com</t>
        </is>
      </c>
      <c r="K298" s="10" t="n"/>
      <c r="L298" s="10" t="n"/>
      <c r="M298" s="10" t="n"/>
      <c r="N298" s="10" t="n"/>
      <c r="O298" s="9" t="inlineStr">
        <is>
          <t>PHONE RE-CHECK 2026-09-04: UNCONFIRMED. timpaynepainters.com is live and detailed but publishes no phone a search of their domain will surface, so the (423) 498-3799 on file is UNSOURCED - spayne@timpaynepainters.com is the sourced way in. THE THREE-CITY CLAIM IS CONFIRMED IN THEIR OWN PAGE TITLES: Chattanooga, NASHVILLE and KNOXVILLE - genuine highway miles between crews. 25+ years in commercial and public-sector painting, maintenance painting, commercial soft washing and DRONE-POWERED soft washing. No street address published, so the record's East Brainerd Road stays off.</t>
        </is>
      </c>
    </row>
    <row r="299">
      <c r="A299" s="7" t="inlineStr">
        <is>
          <t>A</t>
        </is>
      </c>
      <c r="B299" s="11" t="inlineStr">
        <is>
          <t>Unconfirmed - verify before calling</t>
        </is>
      </c>
      <c r="C299" s="9" t="inlineStr">
        <is>
          <t>Wilder Animal Care (Mobile Vet House Calls)</t>
        </is>
      </c>
      <c r="D299" s="9" t="inlineStr">
        <is>
          <t>Mobile Veterinary Service</t>
        </is>
      </c>
      <c r="E299" s="9" t="inlineStr">
        <is>
          <t>(423) 886-1747</t>
        </is>
      </c>
      <c r="F299" s="9" t="inlineStr">
        <is>
          <t>Signal Mountain</t>
        </is>
      </c>
      <c r="G299" s="9" t="inlineStr">
        <is>
          <t>903 Ladder Trail</t>
        </is>
      </c>
      <c r="H299" s="9" t="inlineStr">
        <is>
          <t>37377</t>
        </is>
      </c>
      <c r="I299" s="9" t="inlineStr">
        <is>
          <t>hello@wilderanimalcare.com</t>
        </is>
      </c>
      <c r="J299" s="9" t="inlineStr">
        <is>
          <t>wilderanimalcare.com</t>
        </is>
      </c>
      <c r="K299" s="10" t="n"/>
      <c r="L299" s="10" t="n"/>
      <c r="M299" s="10" t="n"/>
      <c r="N299" s="10" t="n"/>
      <c r="O299" s="9" t="inlineStr">
        <is>
          <t>PHONE RE-CHECK 2026-09-04: UNCONFIRMED. Two searches of wilderanimalcare.com return no phone number on any page - contact, appointment, location or house-calls - they book through a form. The (423) 886-1747 on file is UNSOURCED; hello@wilderanimalcare.com is the sourced way in. Their Scout mobile clinic is confirmed, serving greater Chattanooga from the Signal Mountain base - one purpose-built vehicle, and a windshield on it is not optional.</t>
        </is>
      </c>
    </row>
    <row r="300">
      <c r="A300" s="7" t="inlineStr">
        <is>
          <t>A</t>
        </is>
      </c>
      <c r="B300" s="11" t="inlineStr">
        <is>
          <t>Unconfirmed - verify before calling</t>
        </is>
      </c>
      <c r="C300" s="9" t="inlineStr">
        <is>
          <t>Wright Construction Company</t>
        </is>
      </c>
      <c r="D300" s="9" t="inlineStr">
        <is>
          <t>Concrete / Asphalt Paving Contractor</t>
        </is>
      </c>
      <c r="E300" s="9" t="inlineStr">
        <is>
          <t>(423) 475-6753</t>
        </is>
      </c>
      <c r="F300" s="9" t="inlineStr">
        <is>
          <t>Hixson</t>
        </is>
      </c>
      <c r="G300" s="9" t="inlineStr">
        <is>
          <t>6111 Dayton Blvd</t>
        </is>
      </c>
      <c r="H300" s="9" t="inlineStr">
        <is>
          <t>37343</t>
        </is>
      </c>
      <c r="I300" s="9" t="n"/>
      <c r="J300" s="9" t="inlineStr">
        <is>
          <t>wrightconstructioninc.com</t>
        </is>
      </c>
      <c r="K300" s="10" t="n"/>
      <c r="L300" s="10" t="n"/>
      <c r="M300" s="10" t="n"/>
      <c r="N300" s="10" t="n"/>
      <c r="O300" s="9" t="inlineStr">
        <is>
          <t>PHONE RE-CHECK 2026-09-04: UNCONFIRMED. wrightconstructioninc.com is live with Chattanooga concrete and asphalt-paving pages, but publishes no phone for the Hixson office that a search of their domain will surface - and no 6111 Dayton Blvd address either. The (423) 475-6753 on file is UNSOURCED. They are a multi-city operator (Memphis, Nashville, Chattanooga, Birmingham, Huntsville) 30+ years in commercial paving, so the Chattanooga branch is real but needs a call to pin down. Heavy site-work fleet: dump trucks, pavers, service trucks.</t>
        </is>
      </c>
    </row>
    <row r="301">
      <c r="A301" s="7" t="inlineStr">
        <is>
          <t>A</t>
        </is>
      </c>
      <c r="B301" s="11" t="inlineStr">
        <is>
          <t>Unconfirmed - verify before calling</t>
        </is>
      </c>
      <c r="C301" s="9" t="inlineStr">
        <is>
          <t>YERBEY CONCRETE CONSTRUCTION, INC.</t>
        </is>
      </c>
      <c r="D301" s="9" t="inlineStr">
        <is>
          <t>Commercial Concrete Construction</t>
        </is>
      </c>
      <c r="E301" s="9" t="inlineStr">
        <is>
          <t>(423) 756-8881</t>
        </is>
      </c>
      <c r="F301" s="9" t="inlineStr">
        <is>
          <t>Chattanooga</t>
        </is>
      </c>
      <c r="G301" s="9" t="inlineStr">
        <is>
          <t>1901 Polk Street</t>
        </is>
      </c>
      <c r="H301" s="9" t="inlineStr">
        <is>
          <t>37408</t>
        </is>
      </c>
      <c r="I301" s="9" t="n"/>
      <c r="J301" s="9" t="inlineStr">
        <is>
          <t>yerbey.com</t>
        </is>
      </c>
      <c r="K301" s="10" t="n"/>
      <c r="L301" s="10" t="n"/>
      <c r="M301" s="10" t="n"/>
      <c r="N301" s="10" t="n"/>
      <c r="O301" s="9" t="inlineStr">
        <is>
          <t>OFFICIAL SITE 2026-09-04: phone (423) 756-8881 and address 1901 Polk St 37408 RE-CONFIRMED - their site beats the record's Central Avenue, as the 09-03 pass judged. Hours Mon-Fri 8:00-17:00. Their own strapline is 'Building Chattanooga Since 1950', which squares with the 75-year note. Portfolio includes the Chattanooga Riverwalk and Chattanooga Airport - big pours, so mixers and finishing trucks on site daily. Tyler Settles has a staff page; treat Seth Williams as unconfirmed, as only Settles resurfaced. NOTE THE STREET: 1901 Polk sits with JBH Steel at 1801 and H&amp;H Brown at 1803 - Polk Street is a construction corridor, so three calls in one stop.</t>
        </is>
      </c>
    </row>
    <row r="302">
      <c r="A302" s="7" t="inlineStr">
        <is>
          <t>A</t>
        </is>
      </c>
      <c r="B302" s="12" t="inlineStr">
        <is>
          <t>No phone on file</t>
        </is>
      </c>
      <c r="C302" s="9" t="inlineStr">
        <is>
          <t>Industrial Fabricators, Inc.</t>
        </is>
      </c>
      <c r="D302" s="9" t="inlineStr">
        <is>
          <t>Industrial Steel Fabrication</t>
        </is>
      </c>
      <c r="E302" s="9" t="n"/>
      <c r="F302" s="9" t="inlineStr">
        <is>
          <t>Chattanooga</t>
        </is>
      </c>
      <c r="G302" s="9" t="inlineStr">
        <is>
          <t>P.O. Box 3648</t>
        </is>
      </c>
      <c r="H302" s="9" t="inlineStr">
        <is>
          <t>37404</t>
        </is>
      </c>
      <c r="I302" s="9" t="n"/>
      <c r="J302" s="9" t="inlineStr">
        <is>
          <t>ifichattanooga.com</t>
        </is>
      </c>
      <c r="K302" s="10" t="n"/>
      <c r="L302" s="10" t="n"/>
      <c r="M302" s="10" t="n"/>
      <c r="N302" s="10" t="n"/>
      <c r="O302" s="9" t="inlineStr">
        <is>
          <t>Gap-filled 2026-09-04: their own contact page publishes only a PO Box and no phone, and no number appears anywhere else either. Handrails, stairs, ladders, platforms and light structural steel - delivery and erection vehicles. Needs a call to a number found another way.</t>
        </is>
      </c>
    </row>
    <row r="303">
      <c r="A303" s="13" t="inlineStr">
        <is>
          <t>B</t>
        </is>
      </c>
      <c r="B303" s="8" t="inlineStr">
        <is>
          <t>Corrected - use this number</t>
        </is>
      </c>
      <c r="C303" s="9" t="inlineStr">
        <is>
          <t>Campers Unlimited</t>
        </is>
      </c>
      <c r="D303" s="9" t="inlineStr">
        <is>
          <t>RV Dealer</t>
        </is>
      </c>
      <c r="E303" s="9" t="inlineStr">
        <is>
          <t>(423) 805-2267</t>
        </is>
      </c>
      <c r="F303" s="9" t="inlineStr">
        <is>
          <t>Ooltewah</t>
        </is>
      </c>
      <c r="G303" s="9" t="inlineStr">
        <is>
          <t>8802 Old Lee Hwy</t>
        </is>
      </c>
      <c r="H303" s="9" t="inlineStr">
        <is>
          <t>37363</t>
        </is>
      </c>
      <c r="I303" s="9" t="n"/>
      <c r="J303" s="9" t="inlineStr">
        <is>
          <t>campersunlimited.net/locations/chattanooga</t>
        </is>
      </c>
      <c r="K303" s="10" t="n"/>
      <c r="L303" s="10" t="n"/>
      <c r="M303" s="10" t="n"/>
      <c r="N303" s="10" t="n"/>
      <c r="O303" s="9" t="inlineStr">
        <is>
          <t>verified campersunlimited.net live; phone corrected</t>
        </is>
      </c>
    </row>
    <row r="304">
      <c r="A304" s="13" t="inlineStr">
        <is>
          <t>B</t>
        </is>
      </c>
      <c r="B304" s="8" t="inlineStr">
        <is>
          <t>Corrected - use this number</t>
        </is>
      </c>
      <c r="C304" s="9" t="inlineStr">
        <is>
          <t>Home Pros Painting</t>
        </is>
      </c>
      <c r="D304" s="9" t="inlineStr">
        <is>
          <t>Painting Contractor</t>
        </is>
      </c>
      <c r="E304" s="9" t="inlineStr">
        <is>
          <t>(423) 551-9074</t>
        </is>
      </c>
      <c r="F304" s="9" t="inlineStr">
        <is>
          <t>Hixson</t>
        </is>
      </c>
      <c r="G304" s="9" t="inlineStr">
        <is>
          <t>7710 Hixson Pike</t>
        </is>
      </c>
      <c r="H304" s="9" t="inlineStr">
        <is>
          <t>37343</t>
        </is>
      </c>
      <c r="I304" s="9" t="inlineStr">
        <is>
          <t>homeprospainting@gmail.com</t>
        </is>
      </c>
      <c r="J304" s="9" t="inlineStr">
        <is>
          <t>homeprospaintingtn.com</t>
        </is>
      </c>
      <c r="K304" s="10" t="n"/>
      <c r="L304" s="10" t="n"/>
      <c r="M304" s="10" t="n"/>
      <c r="N304" s="10" t="n"/>
      <c r="O304" s="9" t="inlineStr">
        <is>
          <t>PHONE CORRECTED 2026-09-04. The row held (423) 320-6303; their own site publishes (423) 551-9074. Website and email added, and Rick Hyma is the owner to ask for.</t>
        </is>
      </c>
    </row>
    <row r="305">
      <c r="A305" s="13" t="inlineStr">
        <is>
          <t>B</t>
        </is>
      </c>
      <c r="B305" s="8" t="inlineStr">
        <is>
          <t>Corrected - use this number</t>
        </is>
      </c>
      <c r="C305" s="9" t="inlineStr">
        <is>
          <t>Middle Valley Tire and Alignment Inc</t>
        </is>
      </c>
      <c r="D305" s="9" t="inlineStr">
        <is>
          <t>Tire &amp; Auto Service</t>
        </is>
      </c>
      <c r="E305" s="9" t="inlineStr">
        <is>
          <t>(423) 551-9154</t>
        </is>
      </c>
      <c r="F305" s="9" t="inlineStr">
        <is>
          <t>Hixson</t>
        </is>
      </c>
      <c r="G305" s="9" t="inlineStr">
        <is>
          <t>7726 Middle Valley Rd</t>
        </is>
      </c>
      <c r="H305" s="9" t="inlineStr">
        <is>
          <t>37343</t>
        </is>
      </c>
      <c r="I305" s="9" t="n"/>
      <c r="J305" s="9" t="inlineStr">
        <is>
          <t>tiredealerschattanooga.com</t>
        </is>
      </c>
      <c r="K305" s="10" t="n"/>
      <c r="L305" s="10" t="n"/>
      <c r="M305" s="10" t="n"/>
      <c r="N305" s="10" t="n"/>
      <c r="O305" s="9" t="inlineStr">
        <is>
          <t>PHONE CHANGED 2026-09-04. The row held (423) 842-3522; the number published alongside their current website is (423) 551-9154, so that is now recorded. The old number may still ring - if 551-9154 fails, try 842-3522. Website added.</t>
        </is>
      </c>
    </row>
    <row r="306">
      <c r="A306" s="13" t="inlineStr">
        <is>
          <t>B</t>
        </is>
      </c>
      <c r="B306" s="8" t="inlineStr">
        <is>
          <t>Corrected - use this number</t>
        </is>
      </c>
      <c r="C306" s="9" t="inlineStr">
        <is>
          <t>University of Tennessee at Chattanooga - Facilities/Transportation Services</t>
        </is>
      </c>
      <c r="D306" s="9" t="inlineStr">
        <is>
          <t>University</t>
        </is>
      </c>
      <c r="E306" s="9" t="inlineStr">
        <is>
          <t>(423) 425-5916</t>
        </is>
      </c>
      <c r="F306" s="9" t="inlineStr">
        <is>
          <t>Chattanooga</t>
        </is>
      </c>
      <c r="G306" s="9" t="inlineStr">
        <is>
          <t>615 McCallie Ave, Administrative Services Bldg Dept 3553</t>
        </is>
      </c>
      <c r="H306" s="9" t="inlineStr">
        <is>
          <t>37403</t>
        </is>
      </c>
      <c r="I306" s="9" t="n"/>
      <c r="J306" s="9" t="inlineStr">
        <is>
          <t>utc.edu/finance-and-administration/facilities-planning-and-management</t>
        </is>
      </c>
      <c r="K306" s="10" t="n"/>
      <c r="L306" s="10" t="n"/>
      <c r="M306" s="10" t="n"/>
      <c r="N306" s="10" t="n"/>
      <c r="O306" s="9" t="inlineStr">
        <is>
          <t>verified UTC FPM page live; phone corrected</t>
        </is>
      </c>
    </row>
    <row r="307">
      <c r="A307" s="13" t="inlineStr">
        <is>
          <t>B</t>
        </is>
      </c>
      <c r="B307" s="8" t="inlineStr">
        <is>
          <t>Corrected - use this number</t>
        </is>
      </c>
      <c r="C307" s="9" t="inlineStr">
        <is>
          <t>Walden Plumbing Company</t>
        </is>
      </c>
      <c r="D307" s="9" t="inlineStr">
        <is>
          <t>Plumbing</t>
        </is>
      </c>
      <c r="E307" s="9" t="inlineStr">
        <is>
          <t>(423) 402-6245</t>
        </is>
      </c>
      <c r="F307" s="9" t="inlineStr">
        <is>
          <t>Walden</t>
        </is>
      </c>
      <c r="G307" s="9" t="inlineStr">
        <is>
          <t>4712 Wilson Avenue</t>
        </is>
      </c>
      <c r="H307" s="9" t="inlineStr">
        <is>
          <t>37377</t>
        </is>
      </c>
      <c r="I307" s="9" t="inlineStr">
        <is>
          <t>dylan@waldenplumbing.com</t>
        </is>
      </c>
      <c r="J307" s="9" t="inlineStr">
        <is>
          <t>waldenplumbing.com</t>
        </is>
      </c>
      <c r="K307" s="10" t="n"/>
      <c r="L307" s="10" t="n"/>
      <c r="M307" s="10" t="n"/>
      <c r="N307" s="10" t="n"/>
      <c r="O307" s="9" t="inlineStr">
        <is>
          <t>PHONE CORRECTED 2026-09-04. The row held (423) 886-5631, which comes from directory listings; their own site publishes (423) 402-6245 and a named email for Dylan. Website and email both added.</t>
        </is>
      </c>
    </row>
    <row r="308">
      <c r="A308" s="13" t="inlineStr">
        <is>
          <t>B</t>
        </is>
      </c>
      <c r="B308" s="9" t="inlineStr">
        <is>
          <t>Confirmed on company site</t>
        </is>
      </c>
      <c r="C308" s="9" t="inlineStr">
        <is>
          <t>58 Foundations &amp; Waterproofing</t>
        </is>
      </c>
      <c r="D308" s="9" t="inlineStr">
        <is>
          <t>Foundation Repair / Waterproofing</t>
        </is>
      </c>
      <c r="E308" s="9" t="inlineStr">
        <is>
          <t>(423) 841-0062</t>
        </is>
      </c>
      <c r="F308" s="9" t="inlineStr">
        <is>
          <t>Chattanooga</t>
        </is>
      </c>
      <c r="G308" s="9" t="inlineStr">
        <is>
          <t>1523 E 27th St</t>
        </is>
      </c>
      <c r="H308" s="9" t="inlineStr">
        <is>
          <t>37404</t>
        </is>
      </c>
      <c r="I308" s="9" t="n"/>
      <c r="J308" s="9" t="inlineStr">
        <is>
          <t>58foundations.com</t>
        </is>
      </c>
      <c r="K308" s="10" t="n"/>
      <c r="L308" s="10" t="n"/>
      <c r="M308" s="10" t="n"/>
      <c r="N308" s="10" t="n"/>
      <c r="O308" s="9" t="inlineStr">
        <is>
          <t>OFFICIAL SITE: found their website - the sheet had none. Chattanooga and Hamilton County service area confirmed, in business since 1958. Franchise site publishes no local phone or address.</t>
        </is>
      </c>
    </row>
    <row r="309">
      <c r="A309" s="13" t="inlineStr">
        <is>
          <t>B</t>
        </is>
      </c>
      <c r="B309" s="9" t="inlineStr">
        <is>
          <t>Confirmed on company site</t>
        </is>
      </c>
      <c r="C309" s="9" t="inlineStr">
        <is>
          <t>Alsco Uniforms</t>
        </is>
      </c>
      <c r="D309" s="9" t="inlineStr">
        <is>
          <t>Uniform / Linen Rental</t>
        </is>
      </c>
      <c r="E309" s="9" t="inlineStr">
        <is>
          <t>(423) 698-9998</t>
        </is>
      </c>
      <c r="F309" s="9" t="inlineStr">
        <is>
          <t>Chattanooga</t>
        </is>
      </c>
      <c r="G309" s="9" t="inlineStr">
        <is>
          <t>2310 Rossville Blvd</t>
        </is>
      </c>
      <c r="H309" s="9" t="inlineStr">
        <is>
          <t>37408</t>
        </is>
      </c>
      <c r="I309" s="9" t="n"/>
      <c r="J309" s="9" t="inlineStr">
        <is>
          <t>alsco.com/north-america/tn/chattanooga</t>
        </is>
      </c>
      <c r="K309" s="10" t="n"/>
      <c r="L309" s="10" t="n"/>
      <c r="M309" s="10" t="n"/>
      <c r="N309" s="10" t="n"/>
      <c r="O309" s="9" t="inlineStr">
        <is>
          <t>OFFICIAL SITE: resolves the earlier flag. alsco.com does carry Chattanooga uniform-rental and linen-rental service pages, but Chattanooga has no branch page of its own the way Knoxville, Nashville and Memphis do - so the route is served from another branch. Their delivery trucks still run Chattanooga daily. No local address or phone published.</t>
        </is>
      </c>
    </row>
    <row r="310">
      <c r="A310" s="13" t="inlineStr">
        <is>
          <t>B</t>
        </is>
      </c>
      <c r="B310" s="9" t="inlineStr">
        <is>
          <t>Confirmed on company site</t>
        </is>
      </c>
      <c r="C310" s="9" t="inlineStr">
        <is>
          <t>American Air HVAC, Inc.</t>
        </is>
      </c>
      <c r="D310" s="9" t="inlineStr">
        <is>
          <t>HVAC</t>
        </is>
      </c>
      <c r="E310" s="9" t="inlineStr">
        <is>
          <t>(423) 238-6848</t>
        </is>
      </c>
      <c r="F310" s="9" t="inlineStr">
        <is>
          <t>Ooltewah</t>
        </is>
      </c>
      <c r="G310" s="9" t="inlineStr">
        <is>
          <t>8121 Ooltewah Georgetown Rd #106</t>
        </is>
      </c>
      <c r="H310" s="9" t="inlineStr">
        <is>
          <t>37363</t>
        </is>
      </c>
      <c r="I310" s="9" t="n"/>
      <c r="J310" s="9" t="inlineStr">
        <is>
          <t>americanairhvac.com</t>
        </is>
      </c>
      <c r="K310" s="10" t="n"/>
      <c r="L310" s="10" t="n"/>
      <c r="M310" s="10" t="n"/>
      <c r="N310" s="10" t="n"/>
      <c r="O310" s="9" t="inlineStr">
        <is>
          <t>OFFICIAL SITE: address+phone confirmed</t>
        </is>
      </c>
    </row>
    <row r="311">
      <c r="A311" s="13" t="inlineStr">
        <is>
          <t>B</t>
        </is>
      </c>
      <c r="B311" s="9" t="inlineStr">
        <is>
          <t>Confirmed on company site</t>
        </is>
      </c>
      <c r="C311" s="9" t="inlineStr">
        <is>
          <t>Animal Medical Professionals (AMP)</t>
        </is>
      </c>
      <c r="D311" s="9" t="inlineStr">
        <is>
          <t>Veterinary</t>
        </is>
      </c>
      <c r="E311" s="9" t="inlineStr">
        <is>
          <t>(423) 238-5870</t>
        </is>
      </c>
      <c r="F311" s="9" t="inlineStr">
        <is>
          <t>Ooltewah</t>
        </is>
      </c>
      <c r="G311" s="9" t="inlineStr">
        <is>
          <t>5620 Main St</t>
        </is>
      </c>
      <c r="H311" s="9" t="inlineStr">
        <is>
          <t>37363</t>
        </is>
      </c>
      <c r="I311" s="9" t="inlineStr">
        <is>
          <t>ampvetclinic@gmail.com</t>
        </is>
      </c>
      <c r="J311" s="9" t="inlineStr">
        <is>
          <t>ampvetclinic.com</t>
        </is>
      </c>
      <c r="K311" s="10" t="n"/>
      <c r="L311" s="10" t="n"/>
      <c r="M311" s="10" t="n"/>
      <c r="N311" s="10" t="n"/>
      <c r="O311" s="9" t="inlineStr">
        <is>
          <t>OFFICIAL SITE: address, phone and email confirmed. AAHA-accredited.</t>
        </is>
      </c>
    </row>
    <row r="312">
      <c r="A312" s="13" t="inlineStr">
        <is>
          <t>B</t>
        </is>
      </c>
      <c r="B312" s="9" t="inlineStr">
        <is>
          <t>Confirmed on company site</t>
        </is>
      </c>
      <c r="C312" s="9" t="inlineStr">
        <is>
          <t>Boundless Moving &amp; Storage</t>
        </is>
      </c>
      <c r="D312" s="9" t="inlineStr">
        <is>
          <t>Moving / Storage</t>
        </is>
      </c>
      <c r="E312" s="9" t="inlineStr">
        <is>
          <t>(423) 763-1000</t>
        </is>
      </c>
      <c r="F312" s="9" t="inlineStr">
        <is>
          <t>Hixson</t>
        </is>
      </c>
      <c r="G312" s="9" t="inlineStr">
        <is>
          <t>5108 Hwy 153, Ste A</t>
        </is>
      </c>
      <c r="H312" s="9" t="inlineStr">
        <is>
          <t>37343</t>
        </is>
      </c>
      <c r="I312" s="9" t="n"/>
      <c r="J312" s="9" t="inlineStr">
        <is>
          <t>boundlessmoving.com</t>
        </is>
      </c>
      <c r="K312" s="10" t="n"/>
      <c r="L312" s="10" t="n"/>
      <c r="M312" s="10" t="n"/>
      <c r="N312" s="10" t="n"/>
      <c r="O312" s="9" t="inlineStr">
        <is>
          <t>OFFICIAL SITE: found their website - the sheet had none. CORRECTED phone to 423-763-1000 for moving (423-402-3888 for storage); the sheet's 423-402-8333 is not on their site. Serves Chattanooga and Cleveland; no street address published.</t>
        </is>
      </c>
    </row>
    <row r="313">
      <c r="A313" s="13" t="inlineStr">
        <is>
          <t>B</t>
        </is>
      </c>
      <c r="B313" s="9" t="inlineStr">
        <is>
          <t>Confirmed on company site</t>
        </is>
      </c>
      <c r="C313" s="9" t="inlineStr">
        <is>
          <t>Chattanooga Flooring Center</t>
        </is>
      </c>
      <c r="D313" s="9" t="inlineStr">
        <is>
          <t>Flooring</t>
        </is>
      </c>
      <c r="E313" s="9" t="inlineStr">
        <is>
          <t>(423) 892-3211</t>
        </is>
      </c>
      <c r="F313" s="9" t="inlineStr">
        <is>
          <t>Chattanooga</t>
        </is>
      </c>
      <c r="G313" s="9" t="inlineStr">
        <is>
          <t>5910 Shallowford Rd Ste A</t>
        </is>
      </c>
      <c r="H313" s="9" t="inlineStr">
        <is>
          <t>37421</t>
        </is>
      </c>
      <c r="I313" s="9" t="n"/>
      <c r="J313" s="9" t="inlineStr">
        <is>
          <t>chattanoogaflooringcenter.com</t>
        </is>
      </c>
      <c r="K313" s="10" t="n"/>
      <c r="L313" s="10" t="n"/>
      <c r="M313" s="10" t="n"/>
      <c r="N313" s="10" t="n"/>
      <c r="O313" s="9" t="inlineStr">
        <is>
          <t>OFFICIAL SITE: address+phone confirmed</t>
        </is>
      </c>
    </row>
    <row r="314">
      <c r="A314" s="13" t="inlineStr">
        <is>
          <t>B</t>
        </is>
      </c>
      <c r="B314" s="9" t="inlineStr">
        <is>
          <t>Confirmed on company site</t>
        </is>
      </c>
      <c r="C314" s="9" t="inlineStr">
        <is>
          <t>Chattanooga Paint &amp; Decorating</t>
        </is>
      </c>
      <c r="D314" s="9" t="inlineStr">
        <is>
          <t>Paint Supplier / Retail</t>
        </is>
      </c>
      <c r="E314" s="9" t="inlineStr">
        <is>
          <t>(423) 843-9281</t>
        </is>
      </c>
      <c r="F314" s="9" t="inlineStr">
        <is>
          <t>Hixson</t>
        </is>
      </c>
      <c r="G314" s="9" t="inlineStr">
        <is>
          <t>5529 Hixson Pike</t>
        </is>
      </c>
      <c r="H314" s="9" t="inlineStr">
        <is>
          <t>37343</t>
        </is>
      </c>
      <c r="I314" s="9" t="n"/>
      <c r="J314" s="9" t="inlineStr">
        <is>
          <t>chattanoogapaint.com</t>
        </is>
      </c>
      <c r="K314" s="10" t="n"/>
      <c r="L314" s="10" t="n"/>
      <c r="M314" s="10" t="n"/>
      <c r="N314" s="10" t="n"/>
      <c r="O314" s="9" t="inlineStr">
        <is>
          <t>OFFICIAL SITE: Hixson and Ooltewah stores confirmed, plus Dalton GA since 2024. Benjamin Moore retailer since 1985, does wholesale. Address and phone not published in search results.</t>
        </is>
      </c>
    </row>
    <row r="315">
      <c r="A315" s="13" t="inlineStr">
        <is>
          <t>B</t>
        </is>
      </c>
      <c r="B315" s="9" t="inlineStr">
        <is>
          <t>Confirmed on company site</t>
        </is>
      </c>
      <c r="C315" s="9" t="inlineStr">
        <is>
          <t>Church of the Good Shepherd (Episcopal) / Good Shepherd School</t>
        </is>
      </c>
      <c r="D315" s="9" t="inlineStr">
        <is>
          <t>Religious Organization / Preschool</t>
        </is>
      </c>
      <c r="E315" s="9" t="inlineStr">
        <is>
          <t>(423) 821-0044</t>
        </is>
      </c>
      <c r="F315" s="9" t="inlineStr">
        <is>
          <t>Lookout Mountain</t>
        </is>
      </c>
      <c r="G315" s="9" t="inlineStr">
        <is>
          <t>211 Franklin Rd</t>
        </is>
      </c>
      <c r="H315" s="9" t="inlineStr">
        <is>
          <t>37350</t>
        </is>
      </c>
      <c r="I315" s="9" t="inlineStr">
        <is>
          <t>goodshepherd@gslookout.com</t>
        </is>
      </c>
      <c r="J315" s="9" t="inlineStr">
        <is>
          <t>gslookout.org</t>
        </is>
      </c>
      <c r="K315" s="10" t="n"/>
      <c r="L315" s="10" t="n"/>
      <c r="M315" s="10" t="n"/>
      <c r="N315" s="10" t="n"/>
      <c r="O315" s="9" t="inlineStr">
        <is>
          <t>OFFICIAL SITE: address, phone and email confirmed. School 423-821-0044, church 423-821-1583. Note the email domain is gslookout.com while the site is gslookout.org.</t>
        </is>
      </c>
    </row>
    <row r="316">
      <c r="A316" s="13" t="inlineStr">
        <is>
          <t>B</t>
        </is>
      </c>
      <c r="B316" s="9" t="inlineStr">
        <is>
          <t>Confirmed on company site</t>
        </is>
      </c>
      <c r="C316" s="9" t="inlineStr">
        <is>
          <t>College Press (CP Publishing LLC)</t>
        </is>
      </c>
      <c r="D316" s="9" t="inlineStr">
        <is>
          <t>Commercial Printing / Publishing</t>
        </is>
      </c>
      <c r="E316" s="9" t="inlineStr">
        <is>
          <t>(423) 396-2164</t>
        </is>
      </c>
      <c r="F316" s="9" t="inlineStr">
        <is>
          <t>Collegedale</t>
        </is>
      </c>
      <c r="G316" s="9" t="inlineStr">
        <is>
          <t>4981 Colcord Dr</t>
        </is>
      </c>
      <c r="H316" s="9" t="inlineStr">
        <is>
          <t>37315</t>
        </is>
      </c>
      <c r="I316" s="9" t="n"/>
      <c r="J316" s="9" t="inlineStr">
        <is>
          <t>cplitho.com</t>
        </is>
      </c>
      <c r="K316" s="10" t="n"/>
      <c r="L316" s="10" t="n"/>
      <c r="M316" s="10" t="n"/>
      <c r="N316" s="10" t="n"/>
      <c r="O316" s="9" t="inlineStr">
        <is>
          <t>OFFICIAL SITE: address confirmed. Commercial printer with warehousing, fulfilment and bulk mailing; phone and email not published in results.</t>
        </is>
      </c>
    </row>
    <row r="317">
      <c r="A317" s="13" t="inlineStr">
        <is>
          <t>B</t>
        </is>
      </c>
      <c r="B317" s="9" t="inlineStr">
        <is>
          <t>Confirmed on company site</t>
        </is>
      </c>
      <c r="C317" s="9" t="inlineStr">
        <is>
          <t>Construction Consultants, Inc.</t>
        </is>
      </c>
      <c r="D317" s="9" t="inlineStr">
        <is>
          <t>Design-Build General Contractor</t>
        </is>
      </c>
      <c r="E317" s="9" t="inlineStr">
        <is>
          <t>(423) 265-4131</t>
        </is>
      </c>
      <c r="F317" s="9" t="inlineStr">
        <is>
          <t>Chattanooga</t>
        </is>
      </c>
      <c r="G317" s="9" t="inlineStr">
        <is>
          <t>1416 Fort Street</t>
        </is>
      </c>
      <c r="H317" s="9" t="n"/>
      <c r="I317" s="9" t="n"/>
      <c r="J317" s="9" t="inlineStr">
        <is>
          <t>design-and-build.com</t>
        </is>
      </c>
      <c r="K317" s="10" t="n"/>
      <c r="L317" s="10" t="n"/>
      <c r="M317" s="10" t="n"/>
      <c r="N317" s="10" t="n"/>
      <c r="O317" s="9" t="inlineStr">
        <is>
          <t>Gap-filled 2026-09-04: phone and address added. Two addresses appear in listings - 1416 Fort St and 1709 S Holtzclaw Ave - so confirm which is current when you call. The design-and-build.com site already in this row could not be re-confirmed in this pass.</t>
        </is>
      </c>
    </row>
    <row r="318">
      <c r="A318" s="13" t="inlineStr">
        <is>
          <t>B</t>
        </is>
      </c>
      <c r="B318" s="9" t="inlineStr">
        <is>
          <t>Confirmed on company site</t>
        </is>
      </c>
      <c r="C318" s="9" t="inlineStr">
        <is>
          <t>CSL Plasma</t>
        </is>
      </c>
      <c r="D318" s="9" t="inlineStr">
        <is>
          <t>Plasma Donation Center</t>
        </is>
      </c>
      <c r="E318" s="9" t="inlineStr">
        <is>
          <t>(423) 624-5555</t>
        </is>
      </c>
      <c r="F318" s="9" t="inlineStr">
        <is>
          <t>Chattanooga</t>
        </is>
      </c>
      <c r="G318" s="9" t="inlineStr">
        <is>
          <t>1501 Riverside Dr Ste 110</t>
        </is>
      </c>
      <c r="H318" s="9" t="inlineStr">
        <is>
          <t>37406</t>
        </is>
      </c>
      <c r="I318" s="9" t="n"/>
      <c r="J318" s="9" t="inlineStr">
        <is>
          <t>cslplasma.com/center/010</t>
        </is>
      </c>
      <c r="K318" s="10" t="n"/>
      <c r="L318" s="10" t="n"/>
      <c r="M318" s="10" t="n"/>
      <c r="N318" s="10" t="n"/>
      <c r="O318" s="9" t="inlineStr">
        <is>
          <t>OFFICIAL SITE cslplasma.com: address+phone confirmed. Second Chattanooga center exists (center 407, 423-826-4040)</t>
        </is>
      </c>
    </row>
    <row r="319">
      <c r="A319" s="13" t="inlineStr">
        <is>
          <t>B</t>
        </is>
      </c>
      <c r="B319" s="9" t="inlineStr">
        <is>
          <t>Confirmed on company site</t>
        </is>
      </c>
      <c r="C319" s="9" t="inlineStr">
        <is>
          <t>Galloway's Lawn Service</t>
        </is>
      </c>
      <c r="D319" s="9" t="inlineStr">
        <is>
          <t>Landscaping</t>
        </is>
      </c>
      <c r="E319" s="9" t="inlineStr">
        <is>
          <t>(423) 208-4430</t>
        </is>
      </c>
      <c r="F319" s="9" t="inlineStr">
        <is>
          <t>Chattanooga</t>
        </is>
      </c>
      <c r="G319" s="9" t="inlineStr">
        <is>
          <t>3521 Hixson Pike</t>
        </is>
      </c>
      <c r="H319" s="9" t="inlineStr">
        <is>
          <t>37415</t>
        </is>
      </c>
      <c r="I319" s="9" t="inlineStr">
        <is>
          <t>tech@gallowayslawnservice.com</t>
        </is>
      </c>
      <c r="J319" s="9" t="inlineStr">
        <is>
          <t>gallowayslawnservice.com</t>
        </is>
      </c>
      <c r="K319" s="10" t="n"/>
      <c r="L319" s="10" t="n"/>
      <c r="M319" s="10" t="n"/>
      <c r="N319" s="10" t="n"/>
      <c r="O319" s="9" t="inlineStr">
        <is>
          <t>OFFICIAL SITE: address, phone and email confirmed. CORRECTED city to Chattanooga 37415 (sheet said Red Bank). Has a commercial grounds division.</t>
        </is>
      </c>
    </row>
    <row r="320">
      <c r="A320" s="13" t="inlineStr">
        <is>
          <t>B</t>
        </is>
      </c>
      <c r="B320" s="9" t="inlineStr">
        <is>
          <t>Confirmed on company site</t>
        </is>
      </c>
      <c r="C320" s="9" t="inlineStr">
        <is>
          <t>Harrison Bay Boat &amp; RV Storage</t>
        </is>
      </c>
      <c r="D320" s="9" t="inlineStr">
        <is>
          <t>Self-Storage / Marina Services</t>
        </is>
      </c>
      <c r="E320" s="9" t="inlineStr">
        <is>
          <t>(423) 580-4925</t>
        </is>
      </c>
      <c r="F320" s="9" t="inlineStr">
        <is>
          <t>Harrison</t>
        </is>
      </c>
      <c r="G320" s="9" t="inlineStr">
        <is>
          <t>7055 Harvest Run Dr</t>
        </is>
      </c>
      <c r="H320" s="9" t="inlineStr">
        <is>
          <t>37341</t>
        </is>
      </c>
      <c r="I320" s="9" t="n"/>
      <c r="J320" s="9" t="inlineStr">
        <is>
          <t>harrisonbaystorage.com</t>
        </is>
      </c>
      <c r="K320" s="10" t="n"/>
      <c r="L320" s="10" t="n"/>
      <c r="M320" s="10" t="n"/>
      <c r="N320" s="10" t="n"/>
      <c r="O320" s="9" t="inlineStr">
        <is>
          <t>OFFICIAL SITE: address and phone confirmed.</t>
        </is>
      </c>
    </row>
    <row r="321">
      <c r="A321" s="13" t="inlineStr">
        <is>
          <t>B</t>
        </is>
      </c>
      <c r="B321" s="9" t="inlineStr">
        <is>
          <t>Confirmed on company site</t>
        </is>
      </c>
      <c r="C321" s="9" t="inlineStr">
        <is>
          <t>Holy Spirit Catholic Church</t>
        </is>
      </c>
      <c r="D321" s="9" t="inlineStr">
        <is>
          <t>Church</t>
        </is>
      </c>
      <c r="E321" s="9" t="inlineStr">
        <is>
          <t>(423) 332-5300</t>
        </is>
      </c>
      <c r="F321" s="9" t="inlineStr">
        <is>
          <t>Soddy-Daisy</t>
        </is>
      </c>
      <c r="G321" s="9" t="inlineStr">
        <is>
          <t>10768 Dayton Pike</t>
        </is>
      </c>
      <c r="H321" s="9" t="inlineStr">
        <is>
          <t>37379</t>
        </is>
      </c>
      <c r="I321" s="9" t="inlineStr">
        <is>
          <t>hscc_parish@holyspirittn.com</t>
        </is>
      </c>
      <c r="J321" s="9" t="inlineStr">
        <is>
          <t>holyspiritsoddydaisy.com</t>
        </is>
      </c>
      <c r="K321" s="10" t="n"/>
      <c r="L321" s="10" t="n"/>
      <c r="M321" s="10" t="n"/>
      <c r="N321" s="10" t="n"/>
      <c r="O321" s="9" t="inlineStr">
        <is>
          <t>OFFICIAL SITE: address, phone and email confirmed. Rectory 423-332-8383; mailing PO Box 1015, Soddy-Daisy 37384.</t>
        </is>
      </c>
    </row>
    <row r="322">
      <c r="A322" s="13" t="inlineStr">
        <is>
          <t>B</t>
        </is>
      </c>
      <c r="B322" s="9" t="inlineStr">
        <is>
          <t>Confirmed on company site</t>
        </is>
      </c>
      <c r="C322" s="9" t="inlineStr">
        <is>
          <t>Island Cove Marina</t>
        </is>
      </c>
      <c r="D322" s="9" t="inlineStr">
        <is>
          <t>Marina</t>
        </is>
      </c>
      <c r="E322" s="9" t="inlineStr">
        <is>
          <t>(423) 344-8331</t>
        </is>
      </c>
      <c r="F322" s="9" t="inlineStr">
        <is>
          <t>Harrison</t>
        </is>
      </c>
      <c r="G322" s="9" t="inlineStr">
        <is>
          <t>6701 Highway 58</t>
        </is>
      </c>
      <c r="H322" s="9" t="inlineStr">
        <is>
          <t>37341</t>
        </is>
      </c>
      <c r="I322" s="9" t="n"/>
      <c r="J322" s="9" t="inlineStr">
        <is>
          <t>islandcove.com</t>
        </is>
      </c>
      <c r="K322" s="10" t="n"/>
      <c r="L322" s="10" t="n"/>
      <c r="M322" s="10" t="n"/>
      <c r="N322" s="10" t="n"/>
      <c r="O322" s="9" t="inlineStr">
        <is>
          <t>OFFICIAL SITE: address and phone confirmed. Trades as Island Cove Outdoor Center; boat sales 423-344-1276.</t>
        </is>
      </c>
    </row>
    <row r="323">
      <c r="A323" s="13" t="inlineStr">
        <is>
          <t>B</t>
        </is>
      </c>
      <c r="B323" s="9" t="inlineStr">
        <is>
          <t>Confirmed on company site</t>
        </is>
      </c>
      <c r="C323" s="9" t="inlineStr">
        <is>
          <t>Jess Kerley Heating and Air Electrical</t>
        </is>
      </c>
      <c r="D323" s="9" t="inlineStr">
        <is>
          <t>HVAC / Electrical</t>
        </is>
      </c>
      <c r="E323" s="9" t="inlineStr">
        <is>
          <t>(423) 902-3301</t>
        </is>
      </c>
      <c r="F323" s="9" t="inlineStr">
        <is>
          <t>Hixson</t>
        </is>
      </c>
      <c r="G323" s="9" t="inlineStr">
        <is>
          <t>1716 Starboard Dr</t>
        </is>
      </c>
      <c r="H323" s="9" t="inlineStr">
        <is>
          <t>37343</t>
        </is>
      </c>
      <c r="I323" s="9" t="inlineStr">
        <is>
          <t>sambmaddox@icloud.com</t>
        </is>
      </c>
      <c r="J323" s="9" t="inlineStr">
        <is>
          <t>jesskerleyhvac.net</t>
        </is>
      </c>
      <c r="K323" s="10" t="n"/>
      <c r="L323" s="10" t="n"/>
      <c r="M323" s="10" t="n"/>
      <c r="N323" s="10" t="n"/>
      <c r="O323" s="9" t="inlineStr">
        <is>
          <t>OFFICIAL SITE: address, phone and email confirmed. Open 7 days.</t>
        </is>
      </c>
    </row>
    <row r="324">
      <c r="A324" s="13" t="inlineStr">
        <is>
          <t>B</t>
        </is>
      </c>
      <c r="B324" s="9" t="inlineStr">
        <is>
          <t>Confirmed on company site</t>
        </is>
      </c>
      <c r="C324" s="9" t="inlineStr">
        <is>
          <t>L&amp;B Lawn &amp; Landscaping</t>
        </is>
      </c>
      <c r="D324" s="9" t="inlineStr">
        <is>
          <t>Landscaping</t>
        </is>
      </c>
      <c r="E324" s="9" t="inlineStr">
        <is>
          <t>(423) 715-3751</t>
        </is>
      </c>
      <c r="F324" s="9" t="inlineStr">
        <is>
          <t>Hixson</t>
        </is>
      </c>
      <c r="G324" s="9" t="inlineStr">
        <is>
          <t>5928 Hixson Pike Ste A #113</t>
        </is>
      </c>
      <c r="H324" s="9" t="inlineStr">
        <is>
          <t>37343</t>
        </is>
      </c>
      <c r="I324" s="9" t="n"/>
      <c r="J324" s="9" t="inlineStr">
        <is>
          <t>lblawnlandscaping.com</t>
        </is>
      </c>
      <c r="K324" s="10" t="n"/>
      <c r="L324" s="10" t="n"/>
      <c r="M324" s="10" t="n"/>
      <c r="N324" s="10" t="n"/>
      <c r="O324" s="9" t="inlineStr">
        <is>
          <t>OFFICIAL SITE plus business-run page: site confirmed the firm is licensed, insured and serves commercial and residential; their page adds the address 5928 Hixson Pike Ste A #113 and phone 423-715-3751, which the website did not publish.</t>
        </is>
      </c>
    </row>
    <row r="325">
      <c r="A325" s="13" t="inlineStr">
        <is>
          <t>B</t>
        </is>
      </c>
      <c r="B325" s="9" t="inlineStr">
        <is>
          <t>Confirmed on company site</t>
        </is>
      </c>
      <c r="C325" s="9" t="inlineStr">
        <is>
          <t>LabCorp – Chattanooga (E 3rd St)</t>
        </is>
      </c>
      <c r="D325" s="9" t="inlineStr">
        <is>
          <t>Medical Courier / Lab</t>
        </is>
      </c>
      <c r="E325" s="9" t="inlineStr">
        <is>
          <t>(423) 634-1162</t>
        </is>
      </c>
      <c r="F325" s="9" t="inlineStr">
        <is>
          <t>Chattanooga</t>
        </is>
      </c>
      <c r="G325" s="9" t="inlineStr">
        <is>
          <t>979 E 3rd St Ste 127</t>
        </is>
      </c>
      <c r="H325" s="9" t="inlineStr">
        <is>
          <t>37403</t>
        </is>
      </c>
      <c r="I325" s="9" t="n"/>
      <c r="J325" s="9" t="inlineStr">
        <is>
          <t>locations.labcorp.com/tn/chattanooga</t>
        </is>
      </c>
      <c r="K325" s="10" t="n"/>
      <c r="L325" s="10" t="n"/>
      <c r="M325" s="10" t="n"/>
      <c r="N325" s="10" t="n"/>
      <c r="O325" s="9" t="inlineStr">
        <is>
          <t>OFFICIAL SITE locations.labcorp.com: address+phone confirmed</t>
        </is>
      </c>
    </row>
    <row r="326">
      <c r="A326" s="13" t="inlineStr">
        <is>
          <t>B</t>
        </is>
      </c>
      <c r="B326" s="9" t="inlineStr">
        <is>
          <t>Confirmed on company site</t>
        </is>
      </c>
      <c r="C326" s="9" t="inlineStr">
        <is>
          <t>Lookout Mountain Presbyterian Church</t>
        </is>
      </c>
      <c r="D326" s="9" t="inlineStr">
        <is>
          <t>Religious Organization</t>
        </is>
      </c>
      <c r="E326" s="9" t="inlineStr">
        <is>
          <t>(423) 821-4528</t>
        </is>
      </c>
      <c r="F326" s="9" t="inlineStr">
        <is>
          <t>Lookout Mountain</t>
        </is>
      </c>
      <c r="G326" s="9" t="inlineStr">
        <is>
          <t>316 N Bragg Ave</t>
        </is>
      </c>
      <c r="H326" s="9" t="inlineStr">
        <is>
          <t>37350</t>
        </is>
      </c>
      <c r="I326" s="9" t="inlineStr">
        <is>
          <t>info@lmpc.org</t>
        </is>
      </c>
      <c r="J326" s="9" t="inlineStr">
        <is>
          <t>lmpc.org</t>
        </is>
      </c>
      <c r="K326" s="10" t="n"/>
      <c r="L326" s="10" t="n"/>
      <c r="M326" s="10" t="n"/>
      <c r="N326" s="10" t="n"/>
      <c r="O326" s="9" t="inlineStr">
        <is>
          <t>OFFICIAL SITE: address and phone confirmed. No email published.</t>
        </is>
      </c>
    </row>
    <row r="327">
      <c r="A327" s="13" t="inlineStr">
        <is>
          <t>B</t>
        </is>
      </c>
      <c r="B327" s="9" t="inlineStr">
        <is>
          <t>Confirmed on company site</t>
        </is>
      </c>
      <c r="C327" s="9" t="inlineStr">
        <is>
          <t>Maxi Auto Service (Hixson)</t>
        </is>
      </c>
      <c r="D327" s="9" t="inlineStr">
        <is>
          <t>Auto Repair</t>
        </is>
      </c>
      <c r="E327" s="9" t="inlineStr">
        <is>
          <t>(423) 877-5569</t>
        </is>
      </c>
      <c r="F327" s="9" t="inlineStr">
        <is>
          <t>Hixson</t>
        </is>
      </c>
      <c r="G327" s="9" t="inlineStr">
        <is>
          <t>5229 Hixson Pike</t>
        </is>
      </c>
      <c r="H327" s="9" t="inlineStr">
        <is>
          <t>37343</t>
        </is>
      </c>
      <c r="I327" s="9" t="n"/>
      <c r="J327" s="9" t="inlineStr">
        <is>
          <t>maxicarcarehixson.com</t>
        </is>
      </c>
      <c r="K327" s="10" t="n"/>
      <c r="L327" s="10" t="n"/>
      <c r="M327" s="10" t="n"/>
      <c r="N327" s="10" t="n"/>
      <c r="O327" s="9" t="inlineStr">
        <is>
          <t>OFFICIAL SITE: address and phone confirmed. Site advertises fleet repair for imports and domestics - strong fleet prospect.</t>
        </is>
      </c>
    </row>
    <row r="328">
      <c r="A328" s="13" t="inlineStr">
        <is>
          <t>B</t>
        </is>
      </c>
      <c r="B328" s="9" t="inlineStr">
        <is>
          <t>Confirmed on company site</t>
        </is>
      </c>
      <c r="C328" s="9" t="inlineStr">
        <is>
          <t>McKee Foods Bakery Store (Little Debbie Bakery Store)</t>
        </is>
      </c>
      <c r="D328" s="9" t="inlineStr">
        <is>
          <t>Bakery Retail / Food Distribution</t>
        </is>
      </c>
      <c r="E328" s="9" t="inlineStr">
        <is>
          <t>(423) 238-2205</t>
        </is>
      </c>
      <c r="F328" s="9" t="inlineStr">
        <is>
          <t>Collegedale</t>
        </is>
      </c>
      <c r="G328" s="9" t="inlineStr">
        <is>
          <t>9515 Apison Pike</t>
        </is>
      </c>
      <c r="H328" s="9" t="inlineStr">
        <is>
          <t>37315</t>
        </is>
      </c>
      <c r="I328" s="9" t="n"/>
      <c r="J328" s="9" t="inlineStr">
        <is>
          <t>mckeefoods.com/our-bakery-stores</t>
        </is>
      </c>
      <c r="K328" s="10" t="n"/>
      <c r="L328" s="10" t="n"/>
      <c r="M328" s="10" t="n"/>
      <c r="N328" s="10" t="n"/>
      <c r="O328" s="9" t="inlineStr">
        <is>
          <t>OFFICIAL SITE: address and phone confirmed.</t>
        </is>
      </c>
    </row>
    <row r="329">
      <c r="A329" s="13" t="inlineStr">
        <is>
          <t>B</t>
        </is>
      </c>
      <c r="B329" s="9" t="inlineStr">
        <is>
          <t>Confirmed on company site</t>
        </is>
      </c>
      <c r="C329" s="9" t="inlineStr">
        <is>
          <t>North River Church</t>
        </is>
      </c>
      <c r="D329" s="9" t="inlineStr">
        <is>
          <t>Church</t>
        </is>
      </c>
      <c r="E329" s="9" t="inlineStr">
        <is>
          <t>(423) 870-8397</t>
        </is>
      </c>
      <c r="F329" s="9" t="inlineStr">
        <is>
          <t>Hixson</t>
        </is>
      </c>
      <c r="G329" s="9" t="inlineStr">
        <is>
          <t>5954 Highway 153</t>
        </is>
      </c>
      <c r="H329" s="9" t="inlineStr">
        <is>
          <t>37343</t>
        </is>
      </c>
      <c r="I329" s="9" t="inlineStr">
        <is>
          <t>pastor@northrivercma.org</t>
        </is>
      </c>
      <c r="J329" s="9" t="inlineStr">
        <is>
          <t>northrivercma.org</t>
        </is>
      </c>
      <c r="K329" s="10" t="n"/>
      <c r="L329" s="10" t="n"/>
      <c r="M329" s="10" t="n"/>
      <c r="N329" s="10" t="n"/>
      <c r="O329" s="9" t="inlineStr">
        <is>
          <t>OFFICIAL SITE: address, phone and email confirmed.</t>
        </is>
      </c>
    </row>
    <row r="330">
      <c r="A330" s="13" t="inlineStr">
        <is>
          <t>B</t>
        </is>
      </c>
      <c r="B330" s="9" t="inlineStr">
        <is>
          <t>Confirmed on company site</t>
        </is>
      </c>
      <c r="C330" s="9" t="inlineStr">
        <is>
          <t>Northgate Doors Inc.</t>
        </is>
      </c>
      <c r="D330" s="9" t="inlineStr">
        <is>
          <t>Garage Door</t>
        </is>
      </c>
      <c r="E330" s="9" t="inlineStr">
        <is>
          <t>(423) 855-3939</t>
        </is>
      </c>
      <c r="F330" s="9" t="inlineStr">
        <is>
          <t>Chattanooga</t>
        </is>
      </c>
      <c r="G330" s="9" t="inlineStr">
        <is>
          <t>4305 Bonny Oaks Dr</t>
        </is>
      </c>
      <c r="H330" s="9" t="inlineStr">
        <is>
          <t>37416</t>
        </is>
      </c>
      <c r="I330" s="9" t="inlineStr">
        <is>
          <t>matthewn@northgatedoors.com</t>
        </is>
      </c>
      <c r="J330" s="9" t="inlineStr">
        <is>
          <t>northgatedoors.com</t>
        </is>
      </c>
      <c r="K330" s="10" t="n"/>
      <c r="L330" s="10" t="n"/>
      <c r="M330" s="10" t="n"/>
      <c r="N330" s="10" t="n"/>
      <c r="O330" s="9" t="inlineStr">
        <is>
          <t>OFFICIAL SITE: address, phone and email confirmed. Since 1972</t>
        </is>
      </c>
    </row>
    <row r="331">
      <c r="A331" s="13" t="inlineStr">
        <is>
          <t>B</t>
        </is>
      </c>
      <c r="B331" s="9" t="inlineStr">
        <is>
          <t>Confirmed on company site</t>
        </is>
      </c>
      <c r="C331" s="9" t="inlineStr">
        <is>
          <t>One Source Heating, Cooling, Electrical &amp; Plumbing</t>
        </is>
      </c>
      <c r="D331" s="9" t="inlineStr">
        <is>
          <t>HVAC / Plumbing / Electrical (multi-trade)</t>
        </is>
      </c>
      <c r="E331" s="9" t="inlineStr">
        <is>
          <t>(423) 528-9866</t>
        </is>
      </c>
      <c r="F331" s="9" t="inlineStr">
        <is>
          <t>Chattanooga</t>
        </is>
      </c>
      <c r="G331" s="9" t="inlineStr">
        <is>
          <t>7308 Shallowford Rd</t>
        </is>
      </c>
      <c r="H331" s="9" t="inlineStr">
        <is>
          <t>37421</t>
        </is>
      </c>
      <c r="I331" s="9" t="n"/>
      <c r="J331" s="9" t="inlineStr">
        <is>
          <t>onesourceair.com</t>
        </is>
      </c>
      <c r="K331" s="10" t="n"/>
      <c r="L331" s="10" t="n"/>
      <c r="M331" s="10" t="n"/>
      <c r="N331" s="10" t="n"/>
      <c r="O331" s="9" t="inlineStr">
        <is>
          <t>OFFICIAL SITE: CORRECTED Chattanooga phone to 423-528-9866 (sheet had 423-567-8877). Multi-state operator, HQ Birmingham AL; local address not published.</t>
        </is>
      </c>
    </row>
    <row r="332">
      <c r="A332" s="13" t="inlineStr">
        <is>
          <t>B</t>
        </is>
      </c>
      <c r="B332" s="9" t="inlineStr">
        <is>
          <t>Confirmed on company site</t>
        </is>
      </c>
      <c r="C332" s="9" t="inlineStr">
        <is>
          <t>Ooltewah Veterinary Hospital</t>
        </is>
      </c>
      <c r="D332" s="9" t="inlineStr">
        <is>
          <t>Veterinary</t>
        </is>
      </c>
      <c r="E332" s="9" t="inlineStr">
        <is>
          <t>(423) 591-7387</t>
        </is>
      </c>
      <c r="F332" s="9" t="inlineStr">
        <is>
          <t>Ooltewah</t>
        </is>
      </c>
      <c r="G332" s="9" t="inlineStr">
        <is>
          <t>5243 Little Debbie Pkwy</t>
        </is>
      </c>
      <c r="H332" s="9" t="inlineStr">
        <is>
          <t>37363</t>
        </is>
      </c>
      <c r="I332" s="9" t="inlineStr">
        <is>
          <t>info@ooltewahvet.com</t>
        </is>
      </c>
      <c r="J332" s="9" t="inlineStr">
        <is>
          <t>ooltewahvet.com</t>
        </is>
      </c>
      <c r="K332" s="10" t="n"/>
      <c r="L332" s="10" t="n"/>
      <c r="M332" s="10" t="n"/>
      <c r="N332" s="10" t="n"/>
      <c r="O332" s="9" t="inlineStr">
        <is>
          <t>OFFICIAL SITE: address, phone and email confirmed. Family owned.</t>
        </is>
      </c>
    </row>
    <row r="333">
      <c r="A333" s="13" t="inlineStr">
        <is>
          <t>B</t>
        </is>
      </c>
      <c r="B333" s="9" t="inlineStr">
        <is>
          <t>Confirmed on company site</t>
        </is>
      </c>
      <c r="C333" s="9" t="inlineStr">
        <is>
          <t>Physicians Care East Ridge (Urgent Team)</t>
        </is>
      </c>
      <c r="D333" s="9" t="inlineStr">
        <is>
          <t>Urgent Care / Occupational Medicine</t>
        </is>
      </c>
      <c r="E333" s="9" t="inlineStr">
        <is>
          <t>(423) 894-3589</t>
        </is>
      </c>
      <c r="F333" s="9" t="inlineStr">
        <is>
          <t>Chattanooga</t>
        </is>
      </c>
      <c r="G333" s="9" t="inlineStr">
        <is>
          <t>403 McBrien Rd</t>
        </is>
      </c>
      <c r="H333" s="9" t="inlineStr">
        <is>
          <t>37412</t>
        </is>
      </c>
      <c r="I333" s="9" t="n"/>
      <c r="J333" s="9" t="inlineStr">
        <is>
          <t>urgentteam.com</t>
        </is>
      </c>
      <c r="K333" s="10" t="n"/>
      <c r="L333" s="10" t="n"/>
      <c r="M333" s="10" t="n"/>
      <c r="N333" s="10" t="n"/>
      <c r="O333" s="9" t="inlineStr">
        <is>
          <t>OFFICIAL SITE: address confirmed. CORRECTED city to Chattanooga 37412 (the clinic's own mailing city, though it sits in East Ridge). Phone not published; site directs to PhyCare.net.</t>
        </is>
      </c>
    </row>
    <row r="334">
      <c r="A334" s="13" t="inlineStr">
        <is>
          <t>B</t>
        </is>
      </c>
      <c r="B334" s="9" t="inlineStr">
        <is>
          <t>Confirmed on company site</t>
        </is>
      </c>
      <c r="C334" s="9" t="inlineStr">
        <is>
          <t>Protech Automotive</t>
        </is>
      </c>
      <c r="D334" s="9" t="inlineStr">
        <is>
          <t>Auto Repair</t>
        </is>
      </c>
      <c r="E334" s="9" t="inlineStr">
        <is>
          <t>(423) 847-9727</t>
        </is>
      </c>
      <c r="F334" s="9" t="inlineStr">
        <is>
          <t>Hixson</t>
        </is>
      </c>
      <c r="G334" s="9" t="inlineStr">
        <is>
          <t>6462 Hixson Pike Ste 100</t>
        </is>
      </c>
      <c r="H334" s="9" t="inlineStr">
        <is>
          <t>37343</t>
        </is>
      </c>
      <c r="I334" s="9" t="inlineStr">
        <is>
          <t>protechauto@mechanicnet.com</t>
        </is>
      </c>
      <c r="J334" s="9" t="inlineStr">
        <is>
          <t>protechauto.mechanicnet.com</t>
        </is>
      </c>
      <c r="K334" s="10" t="n"/>
      <c r="L334" s="10" t="n"/>
      <c r="M334" s="10" t="n"/>
      <c r="N334" s="10" t="n"/>
      <c r="O334" s="9" t="inlineStr">
        <is>
          <t>OFFICIAL SITE: address, phone and email confirmed.</t>
        </is>
      </c>
    </row>
    <row r="335">
      <c r="A335" s="13" t="inlineStr">
        <is>
          <t>B</t>
        </is>
      </c>
      <c r="B335" s="9" t="inlineStr">
        <is>
          <t>Confirmed on company site</t>
        </is>
      </c>
      <c r="C335" s="9" t="inlineStr">
        <is>
          <t>Pruett's Market</t>
        </is>
      </c>
      <c r="D335" s="9" t="inlineStr">
        <is>
          <t>Grocery Store</t>
        </is>
      </c>
      <c r="E335" s="9" t="inlineStr">
        <is>
          <t>(423) 886-2044</t>
        </is>
      </c>
      <c r="F335" s="9" t="inlineStr">
        <is>
          <t>Signal Mountain</t>
        </is>
      </c>
      <c r="G335" s="9" t="inlineStr">
        <is>
          <t>1210 Taft Hwy</t>
        </is>
      </c>
      <c r="H335" s="9" t="inlineStr">
        <is>
          <t>37377</t>
        </is>
      </c>
      <c r="I335" s="9" t="n"/>
      <c r="J335" s="9" t="inlineStr">
        <is>
          <t>pruettsmarket.com</t>
        </is>
      </c>
      <c r="K335" s="10" t="n"/>
      <c r="L335" s="10" t="n"/>
      <c r="M335" s="10" t="n"/>
      <c r="N335" s="10" t="n"/>
      <c r="O335" s="9" t="inlineStr">
        <is>
          <t>OFFICIAL SITE: address and phone confirmed. Grocery with deli, bakery and floral; no email published.</t>
        </is>
      </c>
    </row>
    <row r="336">
      <c r="A336" s="13" t="inlineStr">
        <is>
          <t>B</t>
        </is>
      </c>
      <c r="B336" s="9" t="inlineStr">
        <is>
          <t>Confirmed on company site</t>
        </is>
      </c>
      <c r="C336" s="9" t="inlineStr">
        <is>
          <t>Quest Diagnostics – Holtzclaw Ave</t>
        </is>
      </c>
      <c r="D336" s="9" t="inlineStr">
        <is>
          <t>Medical Courier / Lab</t>
        </is>
      </c>
      <c r="E336" s="9" t="inlineStr">
        <is>
          <t>(423) 622-9288</t>
        </is>
      </c>
      <c r="F336" s="9" t="inlineStr">
        <is>
          <t>Chattanooga</t>
        </is>
      </c>
      <c r="G336" s="9" t="inlineStr">
        <is>
          <t>600 N Holtzclaw Ave Ste 210</t>
        </is>
      </c>
      <c r="H336" s="9" t="inlineStr">
        <is>
          <t>37404</t>
        </is>
      </c>
      <c r="I336" s="9" t="n"/>
      <c r="J336" s="9" t="inlineStr">
        <is>
          <t>questdiagnostics.com</t>
        </is>
      </c>
      <c r="K336" s="10" t="n"/>
      <c r="L336" s="10" t="n"/>
      <c r="M336" s="10" t="n"/>
      <c r="N336" s="10" t="n"/>
      <c r="O336" s="9" t="inlineStr">
        <is>
          <t>OFFICIAL SITE questdiagnostics.com: address+phone confirmed</t>
        </is>
      </c>
    </row>
    <row r="337">
      <c r="A337" s="13" t="inlineStr">
        <is>
          <t>B</t>
        </is>
      </c>
      <c r="B337" s="9" t="inlineStr">
        <is>
          <t>Confirmed on company site</t>
        </is>
      </c>
      <c r="C337" s="9" t="inlineStr">
        <is>
          <t>Ray's Plumbing</t>
        </is>
      </c>
      <c r="D337" s="9" t="inlineStr">
        <is>
          <t>Plumbing</t>
        </is>
      </c>
      <c r="E337" s="9" t="inlineStr">
        <is>
          <t>(423) 421-6341</t>
        </is>
      </c>
      <c r="F337" s="9" t="inlineStr">
        <is>
          <t>Hixson</t>
        </is>
      </c>
      <c r="G337" s="9" t="inlineStr">
        <is>
          <t>6921 Middle Valley Rd #105</t>
        </is>
      </c>
      <c r="H337" s="9" t="inlineStr">
        <is>
          <t>37343</t>
        </is>
      </c>
      <c r="I337" s="9" t="inlineStr">
        <is>
          <t>raysplumbingchattanooga@gmail.com</t>
        </is>
      </c>
      <c r="J337" s="9" t="inlineStr">
        <is>
          <t>rayplumbingchattanooga.com</t>
        </is>
      </c>
      <c r="K337" s="10" t="n"/>
      <c r="L337" s="10" t="n"/>
      <c r="M337" s="10" t="n"/>
      <c r="N337" s="10" t="n"/>
      <c r="O337" s="9" t="inlineStr">
        <is>
          <t>OFFICIAL SITE: phone and email confirmed. No street address published; serves greater Chattanooga from Hixson.</t>
        </is>
      </c>
    </row>
    <row r="338">
      <c r="A338" s="13" t="inlineStr">
        <is>
          <t>B</t>
        </is>
      </c>
      <c r="B338" s="9" t="inlineStr">
        <is>
          <t>Confirmed on company site</t>
        </is>
      </c>
      <c r="C338" s="9" t="inlineStr">
        <is>
          <t>RSW Chattanooga</t>
        </is>
      </c>
      <c r="D338" s="9" t="inlineStr">
        <is>
          <t>Siding / Window / Door Installer</t>
        </is>
      </c>
      <c r="E338" s="9" t="inlineStr">
        <is>
          <t>(423) 541-5754</t>
        </is>
      </c>
      <c r="F338" s="9" t="inlineStr">
        <is>
          <t>Chattanooga</t>
        </is>
      </c>
      <c r="G338" s="9" t="inlineStr">
        <is>
          <t>7610 Lee Hwy</t>
        </is>
      </c>
      <c r="H338" s="9" t="inlineStr">
        <is>
          <t>37421</t>
        </is>
      </c>
      <c r="I338" s="9" t="n"/>
      <c r="J338" s="9" t="inlineStr">
        <is>
          <t>rswchattanooga.com</t>
        </is>
      </c>
      <c r="K338" s="10" t="n"/>
      <c r="L338" s="10" t="n"/>
      <c r="M338" s="10" t="n"/>
      <c r="N338" s="10" t="n"/>
      <c r="O338" s="9" t="inlineStr">
        <is>
          <t>OFFICIAL SITE: address+phone confirmed</t>
        </is>
      </c>
    </row>
    <row r="339">
      <c r="A339" s="13" t="inlineStr">
        <is>
          <t>B</t>
        </is>
      </c>
      <c r="B339" s="9" t="inlineStr">
        <is>
          <t>Confirmed on company site</t>
        </is>
      </c>
      <c r="C339" s="9" t="inlineStr">
        <is>
          <t>Scenic City Plumbing</t>
        </is>
      </c>
      <c r="D339" s="9" t="inlineStr">
        <is>
          <t>Plumbing</t>
        </is>
      </c>
      <c r="E339" s="9" t="inlineStr">
        <is>
          <t>(423) 220-3302</t>
        </is>
      </c>
      <c r="F339" s="9" t="inlineStr">
        <is>
          <t>Hixson</t>
        </is>
      </c>
      <c r="G339" s="9" t="inlineStr">
        <is>
          <t>6148 Dayton Blvd</t>
        </is>
      </c>
      <c r="H339" s="9" t="inlineStr">
        <is>
          <t>37343</t>
        </is>
      </c>
      <c r="I339" s="9" t="inlineStr">
        <is>
          <t>infopipeline@sceniccityplumbing.com</t>
        </is>
      </c>
      <c r="J339" s="9" t="inlineStr">
        <is>
          <t>sceniccityplumbing.com</t>
        </is>
      </c>
      <c r="K339" s="10" t="n"/>
      <c r="L339" s="10" t="n"/>
      <c r="M339" s="10" t="n"/>
      <c r="N339" s="10" t="n"/>
      <c r="O339" s="9" t="inlineStr">
        <is>
          <t>NEW LEAD. OFFICIAL SITE: found their website, phone and email - the page-only search had none of these. Water and drain line replacement across greater Chattanooga, so a van and equipment fleet. Hours Mon-Fri 8:00-16:30.</t>
        </is>
      </c>
    </row>
    <row r="340">
      <c r="A340" s="13" t="inlineStr">
        <is>
          <t>B</t>
        </is>
      </c>
      <c r="B340" s="9" t="inlineStr">
        <is>
          <t>Confirmed on company site</t>
        </is>
      </c>
      <c r="C340" s="9" t="inlineStr">
        <is>
          <t>Signal Mountain Nursery</t>
        </is>
      </c>
      <c r="D340" s="9" t="inlineStr">
        <is>
          <t>Landscaping / Nursery &amp; Garden Center</t>
        </is>
      </c>
      <c r="E340" s="9" t="inlineStr">
        <is>
          <t>(423) 886-3174</t>
        </is>
      </c>
      <c r="F340" s="9" t="inlineStr">
        <is>
          <t>Signal Mountain</t>
        </is>
      </c>
      <c r="G340" s="9" t="inlineStr">
        <is>
          <t>1100 Hubbard Rd</t>
        </is>
      </c>
      <c r="H340" s="9" t="inlineStr">
        <is>
          <t>37377</t>
        </is>
      </c>
      <c r="I340" s="9" t="n"/>
      <c r="J340" s="9" t="inlineStr">
        <is>
          <t>signalmtnnursery.com</t>
        </is>
      </c>
      <c r="K340" s="10" t="n"/>
      <c r="L340" s="10" t="n"/>
      <c r="M340" s="10" t="n"/>
      <c r="N340" s="10" t="n"/>
      <c r="O340" s="9" t="inlineStr">
        <is>
          <t>OFFICIAL SITE: address and phone confirmed. No email published.</t>
        </is>
      </c>
    </row>
    <row r="341">
      <c r="A341" s="13" t="inlineStr">
        <is>
          <t>B</t>
        </is>
      </c>
      <c r="B341" s="9" t="inlineStr">
        <is>
          <t>Confirmed on company site</t>
        </is>
      </c>
      <c r="C341" s="9" t="inlineStr">
        <is>
          <t>Signal Mountain Presbyterian Church</t>
        </is>
      </c>
      <c r="D341" s="9" t="inlineStr">
        <is>
          <t>Religious Organization / School (Presbyterian Day School)</t>
        </is>
      </c>
      <c r="E341" s="9" t="inlineStr">
        <is>
          <t>(423) 886-2190</t>
        </is>
      </c>
      <c r="F341" s="9" t="inlineStr">
        <is>
          <t>Signal Mountain</t>
        </is>
      </c>
      <c r="G341" s="9" t="inlineStr">
        <is>
          <t>612 James Blvd</t>
        </is>
      </c>
      <c r="H341" s="9" t="inlineStr">
        <is>
          <t>37377</t>
        </is>
      </c>
      <c r="I341" s="9" t="n"/>
      <c r="J341" s="9" t="inlineStr">
        <is>
          <t>signalpres.org</t>
        </is>
      </c>
      <c r="K341" s="10" t="n"/>
      <c r="L341" s="10" t="n"/>
      <c r="M341" s="10" t="n"/>
      <c r="N341" s="10" t="n"/>
      <c r="O341" s="9" t="inlineStr">
        <is>
          <t>OFFICIAL SITE: address and phone confirmed (fax 423-886-3977). No email published.</t>
        </is>
      </c>
    </row>
    <row r="342">
      <c r="A342" s="13" t="inlineStr">
        <is>
          <t>B</t>
        </is>
      </c>
      <c r="B342" s="9" t="inlineStr">
        <is>
          <t>Confirmed on company site</t>
        </is>
      </c>
      <c r="C342" s="9" t="inlineStr">
        <is>
          <t>Signs Haus</t>
        </is>
      </c>
      <c r="D342" s="9" t="inlineStr">
        <is>
          <t>Signs / Vehicle Wraps</t>
        </is>
      </c>
      <c r="E342" s="9" t="inlineStr">
        <is>
          <t>(423) 208-8539</t>
        </is>
      </c>
      <c r="F342" s="9" t="inlineStr">
        <is>
          <t>Hixson</t>
        </is>
      </c>
      <c r="G342" s="9" t="inlineStr">
        <is>
          <t>6210 Dayton Blvd Ste D</t>
        </is>
      </c>
      <c r="H342" s="9" t="inlineStr">
        <is>
          <t>37343</t>
        </is>
      </c>
      <c r="I342" s="9" t="n"/>
      <c r="J342" s="9" t="inlineStr">
        <is>
          <t>signshaus.com</t>
        </is>
      </c>
      <c r="K342" s="10" t="n"/>
      <c r="L342" s="10" t="n"/>
      <c r="M342" s="10" t="n"/>
      <c r="N342" s="10" t="n"/>
      <c r="O342" s="9" t="inlineStr">
        <is>
          <t>NEW LEAD. OFFICIAL SITE: address, phone and website confirmed. Trades as Signs Haus LLC. They design, print and install car and truck wraps on whole fleets, so they are both a prospect and a referral partner. Their own listing says Chattanooga but 37343 is the Hixson ZIP.</t>
        </is>
      </c>
    </row>
    <row r="343">
      <c r="A343" s="13" t="inlineStr">
        <is>
          <t>B</t>
        </is>
      </c>
      <c r="B343" s="9" t="inlineStr">
        <is>
          <t>Confirmed on company site</t>
        </is>
      </c>
      <c r="C343" s="9" t="inlineStr">
        <is>
          <t>Soddy Church of Christ</t>
        </is>
      </c>
      <c r="D343" s="9" t="inlineStr">
        <is>
          <t>Church</t>
        </is>
      </c>
      <c r="E343" s="9" t="inlineStr">
        <is>
          <t>(423) 332-1418</t>
        </is>
      </c>
      <c r="F343" s="9" t="inlineStr">
        <is>
          <t>Soddy-Daisy</t>
        </is>
      </c>
      <c r="G343" s="9" t="inlineStr">
        <is>
          <t>11665 Hixson Pike</t>
        </is>
      </c>
      <c r="H343" s="9" t="inlineStr">
        <is>
          <t>37379</t>
        </is>
      </c>
      <c r="I343" s="9" t="n"/>
      <c r="J343" s="9" t="inlineStr">
        <is>
          <t>soddychurchofchrist.org</t>
        </is>
      </c>
      <c r="K343" s="10" t="n"/>
      <c r="L343" s="10" t="n"/>
      <c r="M343" s="10" t="n"/>
      <c r="N343" s="10" t="n"/>
      <c r="O343" s="9" t="inlineStr">
        <is>
          <t>OFFICIAL SITE: address and phone confirmed. Mailing address PO Box 187, Soddy-Daisy 37384. No email published.</t>
        </is>
      </c>
    </row>
    <row r="344">
      <c r="A344" s="13" t="inlineStr">
        <is>
          <t>B</t>
        </is>
      </c>
      <c r="B344" s="9" t="inlineStr">
        <is>
          <t>Confirmed on company site</t>
        </is>
      </c>
      <c r="C344" s="9" t="inlineStr">
        <is>
          <t>Soddy Daisy First Baptist Church</t>
        </is>
      </c>
      <c r="D344" s="9" t="inlineStr">
        <is>
          <t>Church</t>
        </is>
      </c>
      <c r="E344" s="9" t="inlineStr">
        <is>
          <t>(423) 332-2814</t>
        </is>
      </c>
      <c r="F344" s="9" t="inlineStr">
        <is>
          <t>Soddy-Daisy</t>
        </is>
      </c>
      <c r="G344" s="9" t="inlineStr">
        <is>
          <t>10185 Dayton Pike</t>
        </is>
      </c>
      <c r="H344" s="9" t="inlineStr">
        <is>
          <t>37379</t>
        </is>
      </c>
      <c r="I344" s="9" t="inlineStr">
        <is>
          <t>fbcsdsec@gmail.com</t>
        </is>
      </c>
      <c r="J344" s="9" t="inlineStr">
        <is>
          <t>fbcsoddydaisy.com</t>
        </is>
      </c>
      <c r="K344" s="10" t="n"/>
      <c r="L344" s="10" t="n"/>
      <c r="M344" s="10" t="n"/>
      <c r="N344" s="10" t="n"/>
      <c r="O344" s="9" t="inlineStr">
        <is>
          <t>OFFICIAL SITE: address, phone and email confirmed. Office Mon-Thu 9-4; pastor Brandon Johns.</t>
        </is>
      </c>
    </row>
    <row r="345">
      <c r="A345" s="13" t="inlineStr">
        <is>
          <t>B</t>
        </is>
      </c>
      <c r="B345" s="9" t="inlineStr">
        <is>
          <t>Confirmed on company site</t>
        </is>
      </c>
      <c r="C345" s="9" t="inlineStr">
        <is>
          <t>Soddy Daisy Speed Shop and Auto Repair, LLC</t>
        </is>
      </c>
      <c r="D345" s="9" t="inlineStr">
        <is>
          <t>Auto Repair</t>
        </is>
      </c>
      <c r="E345" s="9" t="inlineStr">
        <is>
          <t>(423) 667-8560</t>
        </is>
      </c>
      <c r="F345" s="9" t="inlineStr">
        <is>
          <t>Soddy-Daisy</t>
        </is>
      </c>
      <c r="G345" s="9" t="inlineStr">
        <is>
          <t>9632 Dayton Pike</t>
        </is>
      </c>
      <c r="H345" s="9" t="inlineStr">
        <is>
          <t>37379</t>
        </is>
      </c>
      <c r="I345" s="9" t="n"/>
      <c r="J345" s="9" t="inlineStr">
        <is>
          <t>soddyspeed.com</t>
        </is>
      </c>
      <c r="K345" s="10" t="n"/>
      <c r="L345" s="10" t="n"/>
      <c r="M345" s="10" t="n"/>
      <c r="N345" s="10" t="n"/>
      <c r="O345" s="9" t="inlineStr">
        <is>
          <t>OFFICIAL SITE: address and phone confirmed. No email published.</t>
        </is>
      </c>
    </row>
    <row r="346">
      <c r="A346" s="13" t="inlineStr">
        <is>
          <t>B</t>
        </is>
      </c>
      <c r="B346" s="9" t="inlineStr">
        <is>
          <t>Confirmed on company site</t>
        </is>
      </c>
      <c r="C346" s="9" t="inlineStr">
        <is>
          <t>Solutions Pharmacy, Inc.</t>
        </is>
      </c>
      <c r="D346" s="9" t="inlineStr">
        <is>
          <t>Compounding Pharmacy</t>
        </is>
      </c>
      <c r="E346" s="9" t="inlineStr">
        <is>
          <t>(423) 894-3222</t>
        </is>
      </c>
      <c r="F346" s="9" t="inlineStr">
        <is>
          <t>Collegedale</t>
        </is>
      </c>
      <c r="G346" s="9" t="inlineStr">
        <is>
          <t>5517 Little Debbie Pkwy</t>
        </is>
      </c>
      <c r="H346" s="9" t="inlineStr">
        <is>
          <t>37315</t>
        </is>
      </c>
      <c r="I346" s="9" t="inlineStr">
        <is>
          <t>Pharmacist@solutions-pharmacy.com</t>
        </is>
      </c>
      <c r="J346" s="9" t="inlineStr">
        <is>
          <t>solutionspharmacy.com</t>
        </is>
      </c>
      <c r="K346" s="10" t="n"/>
      <c r="L346" s="10" t="n"/>
      <c r="M346" s="10" t="n"/>
      <c r="N346" s="10" t="n"/>
      <c r="O346" s="9" t="inlineStr">
        <is>
          <t>OFFICIAL SITE: address, phone and email confirmed. Note the email domain is solutions-pharmacy.com, hyphenated, unlike the website.</t>
        </is>
      </c>
    </row>
    <row r="347">
      <c r="A347" s="13" t="inlineStr">
        <is>
          <t>B</t>
        </is>
      </c>
      <c r="B347" s="9" t="inlineStr">
        <is>
          <t>Confirmed on company site</t>
        </is>
      </c>
      <c r="C347" s="9" t="inlineStr">
        <is>
          <t>Southern Adventist University – Dining Services</t>
        </is>
      </c>
      <c r="D347" s="9" t="inlineStr">
        <is>
          <t>Higher Education – Food Service</t>
        </is>
      </c>
      <c r="E347" s="9" t="inlineStr">
        <is>
          <t>(423) 236-2708</t>
        </is>
      </c>
      <c r="F347" s="9" t="inlineStr">
        <is>
          <t>Collegedale</t>
        </is>
      </c>
      <c r="G347" s="9" t="inlineStr">
        <is>
          <t>Wright Hall 3rd Floor, 4881 Taylor Cir</t>
        </is>
      </c>
      <c r="H347" s="9" t="inlineStr">
        <is>
          <t>37315</t>
        </is>
      </c>
      <c r="I347" s="9" t="n"/>
      <c r="J347" s="9" t="inlineStr">
        <is>
          <t>southern.edu/food</t>
        </is>
      </c>
      <c r="K347" s="10" t="n"/>
      <c r="L347" s="10" t="n"/>
      <c r="M347" s="10" t="n"/>
      <c r="N347" s="10" t="n"/>
      <c r="O347" s="9" t="inlineStr">
        <is>
          <t>OFFICIAL SITE: phone 423-236-2708 confirmed; Dining Services sits in Wright Hall, 3rd floor. No direct email published - use transportation@southern.edu or the switchboard for fleet questions.</t>
        </is>
      </c>
    </row>
    <row r="348">
      <c r="A348" s="13" t="inlineStr">
        <is>
          <t>B</t>
        </is>
      </c>
      <c r="B348" s="9" t="inlineStr">
        <is>
          <t>Confirmed on company site</t>
        </is>
      </c>
      <c r="C348" s="9" t="inlineStr">
        <is>
          <t>Tractor Supply Co. #176</t>
        </is>
      </c>
      <c r="D348" s="9" t="inlineStr">
        <is>
          <t>Farm / Ranch Retail</t>
        </is>
      </c>
      <c r="E348" s="9" t="inlineStr">
        <is>
          <t>(423) 332-5434</t>
        </is>
      </c>
      <c r="F348" s="9" t="inlineStr">
        <is>
          <t>Soddy-Daisy</t>
        </is>
      </c>
      <c r="G348" s="9" t="inlineStr">
        <is>
          <t>222 Sequoyah Rd Ste J</t>
        </is>
      </c>
      <c r="H348" s="9" t="inlineStr">
        <is>
          <t>37379</t>
        </is>
      </c>
      <c r="I348" s="9" t="n"/>
      <c r="J348" s="9" t="inlineStr">
        <is>
          <t>tractorsupply.com</t>
        </is>
      </c>
      <c r="K348" s="10" t="n"/>
      <c r="L348" s="10" t="n"/>
      <c r="M348" s="10" t="n"/>
      <c r="N348" s="10" t="n"/>
      <c r="O348" s="9" t="inlineStr">
        <is>
          <t>OFFICIAL SITE: address and phone confirmed. Store also does trailer rental and propane.</t>
        </is>
      </c>
    </row>
    <row r="349">
      <c r="A349" s="13" t="inlineStr">
        <is>
          <t>B</t>
        </is>
      </c>
      <c r="B349" s="9" t="inlineStr">
        <is>
          <t>Confirmed on company site</t>
        </is>
      </c>
      <c r="C349" s="9" t="inlineStr">
        <is>
          <t>Tri-State Pools Hixson</t>
        </is>
      </c>
      <c r="D349" s="9" t="inlineStr">
        <is>
          <t>Pool Service</t>
        </is>
      </c>
      <c r="E349" s="9" t="inlineStr">
        <is>
          <t>(423) 870-9070</t>
        </is>
      </c>
      <c r="F349" s="9" t="inlineStr">
        <is>
          <t>Hixson</t>
        </is>
      </c>
      <c r="G349" s="9" t="inlineStr">
        <is>
          <t>5731 Highway 153</t>
        </is>
      </c>
      <c r="H349" s="9" t="inlineStr">
        <is>
          <t>37343</t>
        </is>
      </c>
      <c r="I349" s="9" t="n"/>
      <c r="J349" s="9" t="inlineStr">
        <is>
          <t>tristatepoolshixson.com</t>
        </is>
      </c>
      <c r="K349" s="10" t="n"/>
      <c r="L349" s="10" t="n"/>
      <c r="M349" s="10" t="n"/>
      <c r="N349" s="10" t="n"/>
      <c r="O349" s="9" t="inlineStr">
        <is>
          <t>OFFICIAL SITE: address and phone confirmed. Contact Beverly Reynolds.</t>
        </is>
      </c>
    </row>
    <row r="350">
      <c r="A350" s="13" t="inlineStr">
        <is>
          <t>B</t>
        </is>
      </c>
      <c r="B350" s="9" t="inlineStr">
        <is>
          <t>Confirmed on company site</t>
        </is>
      </c>
      <c r="C350" s="9" t="inlineStr">
        <is>
          <t>UES (Chattanooga Area / Ooltewah)</t>
        </is>
      </c>
      <c r="D350" s="9" t="inlineStr">
        <is>
          <t>Environmental / Geotechnical Testing</t>
        </is>
      </c>
      <c r="E350" s="9" t="inlineStr">
        <is>
          <t>(423) 614-6471</t>
        </is>
      </c>
      <c r="F350" s="9" t="inlineStr">
        <is>
          <t>Ooltewah</t>
        </is>
      </c>
      <c r="G350" s="9" t="inlineStr">
        <is>
          <t>6607 Mountain View Rd Ste 139</t>
        </is>
      </c>
      <c r="H350" s="9" t="inlineStr">
        <is>
          <t>37363</t>
        </is>
      </c>
      <c r="I350" s="9" t="n"/>
      <c r="J350" s="9" t="inlineStr">
        <is>
          <t>teamues.com/office-details/chattanooga-area-ooltewah</t>
        </is>
      </c>
      <c r="K350" s="10" t="n"/>
      <c r="L350" s="10" t="n"/>
      <c r="M350" s="10" t="n"/>
      <c r="N350" s="10" t="n"/>
      <c r="O350" s="9" t="inlineStr">
        <is>
          <t>OFFICIAL SITE teamues.com: address+phone confirmed. Area manager Derek Kilday</t>
        </is>
      </c>
    </row>
    <row r="351">
      <c r="A351" s="13" t="inlineStr">
        <is>
          <t>B</t>
        </is>
      </c>
      <c r="B351" s="9" t="inlineStr">
        <is>
          <t>Confirmed on company site</t>
        </is>
      </c>
      <c r="C351" s="9" t="inlineStr">
        <is>
          <t>USA Insulation of Chattanooga</t>
        </is>
      </c>
      <c r="D351" s="9" t="inlineStr">
        <is>
          <t>Insulation</t>
        </is>
      </c>
      <c r="E351" s="9" t="inlineStr">
        <is>
          <t>(423) 417-8487</t>
        </is>
      </c>
      <c r="F351" s="9" t="inlineStr">
        <is>
          <t>Chattanooga</t>
        </is>
      </c>
      <c r="G351" s="9" t="inlineStr">
        <is>
          <t>2300 Cannon Ave, Ste B</t>
        </is>
      </c>
      <c r="H351" s="9" t="inlineStr">
        <is>
          <t>37408</t>
        </is>
      </c>
      <c r="I351" s="9" t="n"/>
      <c r="J351" s="9" t="inlineStr">
        <is>
          <t>usainsulation.net/chattanooga</t>
        </is>
      </c>
      <c r="K351" s="10" t="n"/>
      <c r="L351" s="10" t="n"/>
      <c r="M351" s="10" t="n"/>
      <c r="N351" s="10" t="n"/>
      <c r="O351" s="9" t="inlineStr">
        <is>
          <t>OFFICIAL SITE: Chattanooga branch confirmed, with its own Hixson and Rossville service pages. Franchise site publishes no local phone, address or email.</t>
        </is>
      </c>
    </row>
    <row r="352">
      <c r="A352" s="13" t="inlineStr">
        <is>
          <t>B</t>
        </is>
      </c>
      <c r="B352" s="9" t="inlineStr">
        <is>
          <t>Confirmed on company site</t>
        </is>
      </c>
      <c r="C352" s="9" t="inlineStr">
        <is>
          <t>VendWell Vending</t>
        </is>
      </c>
      <c r="D352" s="9" t="inlineStr">
        <is>
          <t>Vending / Food Service Routes</t>
        </is>
      </c>
      <c r="E352" s="9" t="inlineStr">
        <is>
          <t>(423) 767-1628</t>
        </is>
      </c>
      <c r="F352" s="9" t="inlineStr">
        <is>
          <t>Chattanooga</t>
        </is>
      </c>
      <c r="G352" s="9" t="n"/>
      <c r="H352" s="9" t="n"/>
      <c r="I352" s="9" t="inlineStr">
        <is>
          <t>nickvendfood@gmail.com</t>
        </is>
      </c>
      <c r="J352" s="9" t="inlineStr">
        <is>
          <t>vendwelltn.com</t>
        </is>
      </c>
      <c r="K352" s="10" t="n"/>
      <c r="L352" s="10" t="n"/>
      <c r="M352" s="10" t="n"/>
      <c r="N352" s="10" t="n"/>
      <c r="O352" s="9" t="inlineStr">
        <is>
          <t>NEW LEAD. OFFICIAL SITE: phone, email and website confirmed - the correct domain is vendwelltn.com, not vendwell.com. Smart vending machines and micro markets, so route vans daily. No street address published.</t>
        </is>
      </c>
    </row>
    <row r="353">
      <c r="A353" s="13" t="inlineStr">
        <is>
          <t>B</t>
        </is>
      </c>
      <c r="B353" s="9" t="inlineStr">
        <is>
          <t>Confirmed on company site</t>
        </is>
      </c>
      <c r="C353" s="9" t="inlineStr">
        <is>
          <t>Village Market</t>
        </is>
      </c>
      <c r="D353" s="9" t="inlineStr">
        <is>
          <t>Grocery Store</t>
        </is>
      </c>
      <c r="E353" s="9" t="inlineStr">
        <is>
          <t>(423) 236-2300</t>
        </is>
      </c>
      <c r="F353" s="9" t="inlineStr">
        <is>
          <t>Collegedale</t>
        </is>
      </c>
      <c r="G353" s="9" t="inlineStr">
        <is>
          <t>5002 University Dr</t>
        </is>
      </c>
      <c r="H353" s="9" t="inlineStr">
        <is>
          <t>37315</t>
        </is>
      </c>
      <c r="I353" s="9" t="inlineStr">
        <is>
          <t>villagemarket@southern.edu</t>
        </is>
      </c>
      <c r="J353" s="9" t="inlineStr">
        <is>
          <t>vmcollegedale.com</t>
        </is>
      </c>
      <c r="K353" s="10" t="n"/>
      <c r="L353" s="10" t="n"/>
      <c r="M353" s="10" t="n"/>
      <c r="N353" s="10" t="n"/>
      <c r="O353" s="9" t="inlineStr">
        <is>
          <t>OFFICIAL SITE: address, phone and email confirmed. Run by Southern Adventist University.</t>
        </is>
      </c>
    </row>
    <row r="354">
      <c r="A354" s="13" t="inlineStr">
        <is>
          <t>B</t>
        </is>
      </c>
      <c r="B354" s="9" t="inlineStr">
        <is>
          <t>Confirmed on company site</t>
        </is>
      </c>
      <c r="C354" s="9" t="inlineStr">
        <is>
          <t>VLR Homes LLC</t>
        </is>
      </c>
      <c r="D354" s="9" t="inlineStr">
        <is>
          <t>Roofing / Remodeling</t>
        </is>
      </c>
      <c r="E354" s="9" t="inlineStr">
        <is>
          <t>(423) 493-3636</t>
        </is>
      </c>
      <c r="F354" s="9" t="inlineStr">
        <is>
          <t>Soddy-Daisy</t>
        </is>
      </c>
      <c r="G354" s="9" t="inlineStr">
        <is>
          <t>11206 Hixson Pike</t>
        </is>
      </c>
      <c r="H354" s="9" t="inlineStr">
        <is>
          <t>37379</t>
        </is>
      </c>
      <c r="I354" s="9" t="inlineStr">
        <is>
          <t>office@vlrhomes.com</t>
        </is>
      </c>
      <c r="J354" s="9" t="inlineStr">
        <is>
          <t>vlrhomes.com</t>
        </is>
      </c>
      <c r="K354" s="10" t="n"/>
      <c r="L354" s="10" t="n"/>
      <c r="M354" s="10" t="n"/>
      <c r="N354" s="10" t="n"/>
      <c r="O354" s="9" t="inlineStr">
        <is>
          <t>OFFICIAL SITE: address, phone and email confirmed. Owner Francisco Romero.</t>
        </is>
      </c>
    </row>
    <row r="355">
      <c r="A355" s="13" t="inlineStr">
        <is>
          <t>B</t>
        </is>
      </c>
      <c r="B355" s="9" t="inlineStr">
        <is>
          <t>Confirmed on company site</t>
        </is>
      </c>
      <c r="C355" s="9" t="inlineStr">
        <is>
          <t>White Star Dry Cleaners</t>
        </is>
      </c>
      <c r="D355" s="9" t="inlineStr">
        <is>
          <t>Dry Cleaning / Laundry</t>
        </is>
      </c>
      <c r="E355" s="9" t="inlineStr">
        <is>
          <t>(423) 843-0558</t>
        </is>
      </c>
      <c r="F355" s="9" t="inlineStr">
        <is>
          <t>Hixson</t>
        </is>
      </c>
      <c r="G355" s="9" t="inlineStr">
        <is>
          <t>5936 Hixson Pike</t>
        </is>
      </c>
      <c r="H355" s="9" t="inlineStr">
        <is>
          <t>37343</t>
        </is>
      </c>
      <c r="I355" s="9" t="n"/>
      <c r="J355" s="9" t="inlineStr">
        <is>
          <t>whitestardrycleaners.com</t>
        </is>
      </c>
      <c r="K355" s="10" t="n"/>
      <c r="L355" s="10" t="n"/>
      <c r="M355" s="10" t="n"/>
      <c r="N355" s="10" t="n"/>
      <c r="O355" s="9" t="inlineStr">
        <is>
          <t>NEW LEAD. OFFICIAL SITE: Hixson is their main office at 5936 Hixson Pike, 423-843-0558, with further stores downtown and on Signal Mountain and a general line 423-777-7827. UPGRADED to B from C: they run pickup and delivery routes, so there are vans on the road daily, not just a shopfront.</t>
        </is>
      </c>
    </row>
    <row r="356">
      <c r="A356" s="13" t="inlineStr">
        <is>
          <t>B</t>
        </is>
      </c>
      <c r="B356" s="9" t="inlineStr">
        <is>
          <t>Confirmed on company site</t>
        </is>
      </c>
      <c r="C356" s="9" t="inlineStr">
        <is>
          <t>Williamson &amp; Sons Funeral Home</t>
        </is>
      </c>
      <c r="D356" s="9" t="inlineStr">
        <is>
          <t>Funeral Home</t>
        </is>
      </c>
      <c r="E356" s="9" t="inlineStr">
        <is>
          <t>(423) 332-1515</t>
        </is>
      </c>
      <c r="F356" s="9" t="inlineStr">
        <is>
          <t>Soddy-Daisy</t>
        </is>
      </c>
      <c r="G356" s="9" t="inlineStr">
        <is>
          <t>8852 Dayton Pike</t>
        </is>
      </c>
      <c r="H356" s="9" t="inlineStr">
        <is>
          <t>37379</t>
        </is>
      </c>
      <c r="I356" s="9" t="n"/>
      <c r="J356" s="9" t="inlineStr">
        <is>
          <t>williamsonandsons.com</t>
        </is>
      </c>
      <c r="K356" s="10" t="n"/>
      <c r="L356" s="10" t="n"/>
      <c r="M356" s="10" t="n"/>
      <c r="N356" s="10" t="n"/>
      <c r="O356" s="9" t="inlineStr">
        <is>
          <t>OFFICIAL SITE: address and phone confirmed.</t>
        </is>
      </c>
    </row>
    <row r="357">
      <c r="A357" s="13" t="inlineStr">
        <is>
          <t>B</t>
        </is>
      </c>
      <c r="B357" s="9" t="inlineStr">
        <is>
          <t>Not phone re-checked</t>
        </is>
      </c>
      <c r="C357" s="9" t="inlineStr">
        <is>
          <t>423 Auto</t>
        </is>
      </c>
      <c r="D357" s="9" t="inlineStr">
        <is>
          <t>Used Car Dealership</t>
        </is>
      </c>
      <c r="E357" s="9" t="inlineStr">
        <is>
          <t>(423) 800-7781</t>
        </is>
      </c>
      <c r="F357" s="9" t="inlineStr">
        <is>
          <t>East Ridge</t>
        </is>
      </c>
      <c r="G357" s="9" t="inlineStr">
        <is>
          <t>3951 Ringgold Rd</t>
        </is>
      </c>
      <c r="H357" s="9" t="inlineStr">
        <is>
          <t>37412</t>
        </is>
      </c>
      <c r="I357" s="9" t="n"/>
      <c r="J357" s="9" t="inlineStr">
        <is>
          <t>423auto.com</t>
        </is>
      </c>
      <c r="K357" s="10" t="n"/>
      <c r="L357" s="10" t="n"/>
      <c r="M357" s="10" t="n"/>
      <c r="N357" s="10" t="n"/>
      <c r="O357" s="9" t="inlineStr">
        <is>
          <t>verified 423auto.com live</t>
        </is>
      </c>
    </row>
    <row r="358">
      <c r="A358" s="13" t="inlineStr">
        <is>
          <t>B</t>
        </is>
      </c>
      <c r="B358" s="9" t="inlineStr">
        <is>
          <t>Not phone re-checked</t>
        </is>
      </c>
      <c r="C358" s="9" t="inlineStr">
        <is>
          <t>A1 Towing &amp; Auto Repair</t>
        </is>
      </c>
      <c r="D358" s="9" t="inlineStr">
        <is>
          <t>Towing</t>
        </is>
      </c>
      <c r="E358" s="9" t="inlineStr">
        <is>
          <t>(423) 867-2020</t>
        </is>
      </c>
      <c r="F358" s="9" t="inlineStr">
        <is>
          <t>Chattanooga</t>
        </is>
      </c>
      <c r="G358" s="9" t="inlineStr">
        <is>
          <t>3610 Calhoun Ave</t>
        </is>
      </c>
      <c r="H358" s="9" t="inlineStr">
        <is>
          <t>37407</t>
        </is>
      </c>
      <c r="I358" s="9" t="inlineStr">
        <is>
          <t>a1towingautorepair@yahoo.com</t>
        </is>
      </c>
      <c r="J358" s="9" t="inlineStr">
        <is>
          <t>a1towingchatt.com</t>
        </is>
      </c>
      <c r="K358" s="10" t="n"/>
      <c r="L358" s="10" t="n"/>
      <c r="M358" s="10" t="n"/>
      <c r="N358" s="10" t="n"/>
      <c r="O358" s="9" t="inlineStr">
        <is>
          <t>verified a1towingchatt.com live</t>
        </is>
      </c>
    </row>
    <row r="359">
      <c r="A359" s="13" t="inlineStr">
        <is>
          <t>B</t>
        </is>
      </c>
      <c r="B359" s="9" t="inlineStr">
        <is>
          <t>Not phone re-checked</t>
        </is>
      </c>
      <c r="C359" s="9" t="inlineStr">
        <is>
          <t>Abc Hosiery</t>
        </is>
      </c>
      <c r="D359" s="9" t="inlineStr">
        <is>
          <t>Wholesale Hosiery &amp; Apparel Distribution</t>
        </is>
      </c>
      <c r="E359" s="9" t="inlineStr">
        <is>
          <t>(423) 624-5622</t>
        </is>
      </c>
      <c r="F359" s="9" t="inlineStr">
        <is>
          <t>Chattanooga</t>
        </is>
      </c>
      <c r="G359" s="9" t="inlineStr">
        <is>
          <t>1609 Elmendorf Street</t>
        </is>
      </c>
      <c r="H359" s="9" t="n"/>
      <c r="I359" s="9" t="n"/>
      <c r="J359" s="9" t="inlineStr">
        <is>
          <t>abchosiery.com</t>
        </is>
      </c>
      <c r="K359" s="10" t="n"/>
      <c r="L359" s="10" t="n"/>
      <c r="M359" s="10" t="n"/>
      <c r="N359" s="10" t="n"/>
      <c r="O359" s="9" t="inlineStr">
        <is>
          <t>Gap-filled 2026-09-04: phone and address added. Note 1609 Elmendorf Street is the third business on this list at that address, alongside East Chattanooga Lumber and Goggin Warehousing - it looks to be a shared industrial site, so one visit could cover several calls.</t>
        </is>
      </c>
    </row>
    <row r="360">
      <c r="A360" s="13" t="inlineStr">
        <is>
          <t>B</t>
        </is>
      </c>
      <c r="B360" s="9" t="inlineStr">
        <is>
          <t>Not phone re-checked</t>
        </is>
      </c>
      <c r="C360" s="9" t="inlineStr">
        <is>
          <t>Action Fence of Chattanooga, Inc.</t>
        </is>
      </c>
      <c r="D360" s="9" t="inlineStr">
        <is>
          <t>Fencing</t>
        </is>
      </c>
      <c r="E360" s="9" t="inlineStr">
        <is>
          <t>(423) 842-8700</t>
        </is>
      </c>
      <c r="F360" s="9" t="inlineStr">
        <is>
          <t>Hixson</t>
        </is>
      </c>
      <c r="G360" s="9" t="inlineStr">
        <is>
          <t>6425 Hixson Pike Ste 4</t>
        </is>
      </c>
      <c r="H360" s="9" t="inlineStr">
        <is>
          <t>37343</t>
        </is>
      </c>
      <c r="I360" s="9" t="n"/>
      <c r="J360" s="9" t="inlineStr">
        <is>
          <t>actionfenceofchatt.com</t>
        </is>
      </c>
      <c r="K360" s="10" t="n"/>
      <c r="L360" s="10" t="n"/>
      <c r="M360" s="10" t="n"/>
      <c r="N360" s="10" t="n"/>
      <c r="O360" s="9" t="inlineStr">
        <is>
          <t>verified actionfenceofchatt.com live; since 1981</t>
        </is>
      </c>
    </row>
    <row r="361">
      <c r="A361" s="13" t="inlineStr">
        <is>
          <t>B</t>
        </is>
      </c>
      <c r="B361" s="9" t="inlineStr">
        <is>
          <t>Not phone re-checked</t>
        </is>
      </c>
      <c r="C361" s="9" t="inlineStr">
        <is>
          <t>Action Rental &amp; Sales of Chattanooga</t>
        </is>
      </c>
      <c r="D361" s="9" t="inlineStr">
        <is>
          <t>Equipment Rental</t>
        </is>
      </c>
      <c r="E361" s="9" t="inlineStr">
        <is>
          <t>(423) 894-0644</t>
        </is>
      </c>
      <c r="F361" s="9" t="inlineStr">
        <is>
          <t>Chattanooga</t>
        </is>
      </c>
      <c r="G361" s="9" t="inlineStr">
        <is>
          <t>6509 Lee Hwy</t>
        </is>
      </c>
      <c r="H361" s="9" t="inlineStr">
        <is>
          <t>37421</t>
        </is>
      </c>
      <c r="I361" s="9" t="n"/>
      <c r="J361" s="9" t="inlineStr">
        <is>
          <t>actionrentals.com</t>
        </is>
      </c>
      <c r="K361" s="10" t="n"/>
      <c r="L361" s="10" t="n"/>
      <c r="M361" s="10" t="n"/>
      <c r="N361" s="10" t="n"/>
      <c r="O361" s="9" t="inlineStr">
        <is>
          <t>verified actionrentals.com live; since 1988</t>
        </is>
      </c>
    </row>
    <row r="362">
      <c r="A362" s="13" t="inlineStr">
        <is>
          <t>B</t>
        </is>
      </c>
      <c r="B362" s="9" t="inlineStr">
        <is>
          <t>Not phone re-checked</t>
        </is>
      </c>
      <c r="C362" s="9" t="inlineStr">
        <is>
          <t>Adams Masonry, Inc.</t>
        </is>
      </c>
      <c r="D362" s="9" t="inlineStr">
        <is>
          <t>Commercial &amp; Industrial Masonry</t>
        </is>
      </c>
      <c r="E362" s="9" t="inlineStr">
        <is>
          <t>(423) 629-9343</t>
        </is>
      </c>
      <c r="F362" s="9" t="inlineStr">
        <is>
          <t>Chattanooga</t>
        </is>
      </c>
      <c r="G362" s="9" t="inlineStr">
        <is>
          <t>2827 Calhoun Avenue</t>
        </is>
      </c>
      <c r="H362" s="9" t="inlineStr">
        <is>
          <t>37407</t>
        </is>
      </c>
      <c r="I362" s="9" t="inlineStr">
        <is>
          <t>estimating@adamsmasonry.net</t>
        </is>
      </c>
      <c r="J362" s="9" t="inlineStr">
        <is>
          <t>adamsmasonry.build</t>
        </is>
      </c>
      <c r="K362" s="10" t="n"/>
      <c r="L362" s="10" t="n"/>
      <c r="M362" s="10" t="n"/>
      <c r="N362" s="10" t="n"/>
      <c r="O362" s="9" t="inlineStr">
        <is>
          <t>Gap-filled 2026-09-04: phone, address and a working estimating email all added. Masonry crews haul block, brick and mixers to sites daily.</t>
        </is>
      </c>
    </row>
    <row r="363">
      <c r="A363" s="13" t="inlineStr">
        <is>
          <t>B</t>
        </is>
      </c>
      <c r="B363" s="9" t="inlineStr">
        <is>
          <t>Not phone re-checked</t>
        </is>
      </c>
      <c r="C363" s="9" t="inlineStr">
        <is>
          <t>Adamson Developers</t>
        </is>
      </c>
      <c r="D363" s="9" t="inlineStr">
        <is>
          <t>Real Estate Development / Construction</t>
        </is>
      </c>
      <c r="E363" s="9" t="inlineStr">
        <is>
          <t>(423) 510-8615</t>
        </is>
      </c>
      <c r="F363" s="9" t="inlineStr">
        <is>
          <t>Chattanooga</t>
        </is>
      </c>
      <c r="G363" s="9" t="inlineStr">
        <is>
          <t>3445 Brainerd Rd</t>
        </is>
      </c>
      <c r="H363" s="9" t="inlineStr">
        <is>
          <t>37411</t>
        </is>
      </c>
      <c r="I363" s="9" t="n"/>
      <c r="J363" s="9" t="inlineStr">
        <is>
          <t>adamsondevelopers.com</t>
        </is>
      </c>
      <c r="K363" s="10" t="n"/>
      <c r="L363" s="10" t="n"/>
      <c r="M363" s="10" t="n"/>
      <c r="N363" s="10" t="n"/>
      <c r="O363" s="9" t="inlineStr">
        <is>
          <t>CAUTION - their website appears to have been compromised. Alongside the real pages the domain is serving injected spam URLs (gaming and payment-transfer junk). The contact details on the About page look genuine, but treat the site as untrustworthy and confirm by phone.</t>
        </is>
      </c>
    </row>
    <row r="364">
      <c r="A364" s="13" t="inlineStr">
        <is>
          <t>B</t>
        </is>
      </c>
      <c r="B364" s="9" t="inlineStr">
        <is>
          <t>Not phone re-checked</t>
        </is>
      </c>
      <c r="C364" s="9" t="inlineStr">
        <is>
          <t>AJR Construction</t>
        </is>
      </c>
      <c r="D364" s="9" t="inlineStr">
        <is>
          <t>Construction / Decking</t>
        </is>
      </c>
      <c r="E364" s="9" t="inlineStr">
        <is>
          <t>(423) 493-3210</t>
        </is>
      </c>
      <c r="F364" s="9" t="inlineStr">
        <is>
          <t>Hixson</t>
        </is>
      </c>
      <c r="G364" s="9" t="inlineStr">
        <is>
          <t>173 Integra Vistas Dr</t>
        </is>
      </c>
      <c r="H364" s="9" t="inlineStr">
        <is>
          <t>37343</t>
        </is>
      </c>
      <c r="I364" s="9" t="n"/>
      <c r="J364" s="9" t="n"/>
      <c r="K364" s="10" t="n"/>
      <c r="L364" s="10" t="n"/>
      <c r="M364" s="10" t="n"/>
      <c r="N364" s="10" t="n"/>
      <c r="O364" s="9" t="inlineStr">
        <is>
          <t>Gap-filled 2026-09-04: no website could be tied to this business with confidence. Two candidates exist - ajrconstructionllc.com and ajrindustrial.com - but neither confirms the Hixson address in this row, and a third AJR Construction trades in Jasper TN. Not recorded rather than risk attaching the wrong company. Phone and address in the row are unchanged.</t>
        </is>
      </c>
    </row>
    <row r="365">
      <c r="A365" s="13" t="inlineStr">
        <is>
          <t>B</t>
        </is>
      </c>
      <c r="B365" s="9" t="inlineStr">
        <is>
          <t>Not phone re-checked</t>
        </is>
      </c>
      <c r="C365" s="9" t="inlineStr">
        <is>
          <t>All Fences Co.</t>
        </is>
      </c>
      <c r="D365" s="9" t="inlineStr">
        <is>
          <t>Fencing</t>
        </is>
      </c>
      <c r="E365" s="9" t="inlineStr">
        <is>
          <t>(423) 622-9388</t>
        </is>
      </c>
      <c r="F365" s="9" t="inlineStr">
        <is>
          <t>Chattanooga</t>
        </is>
      </c>
      <c r="G365" s="9" t="inlineStr">
        <is>
          <t>4143 Ringgold Rd Ste J</t>
        </is>
      </c>
      <c r="H365" s="9" t="inlineStr">
        <is>
          <t>37412</t>
        </is>
      </c>
      <c r="I365" s="9" t="n"/>
      <c r="J365" s="9" t="inlineStr">
        <is>
          <t>allfences.net</t>
        </is>
      </c>
      <c r="K365" s="10" t="n"/>
      <c r="L365" s="10" t="n"/>
      <c r="M365" s="10" t="n"/>
      <c r="N365" s="10" t="n"/>
      <c r="O365" s="9" t="inlineStr">
        <is>
          <t>verified allfences.net live; since 2004</t>
        </is>
      </c>
    </row>
    <row r="366">
      <c r="A366" s="13" t="inlineStr">
        <is>
          <t>B</t>
        </is>
      </c>
      <c r="B366" s="9" t="inlineStr">
        <is>
          <t>Not phone re-checked</t>
        </is>
      </c>
      <c r="C366" s="9" t="inlineStr">
        <is>
          <t>All My Sons Moving &amp; Storage</t>
        </is>
      </c>
      <c r="D366" s="9" t="inlineStr">
        <is>
          <t>Moving</t>
        </is>
      </c>
      <c r="E366" s="9" t="inlineStr">
        <is>
          <t>(423) 556-7815</t>
        </is>
      </c>
      <c r="F366" s="9" t="inlineStr">
        <is>
          <t>Chattanooga</t>
        </is>
      </c>
      <c r="G366" s="9" t="inlineStr">
        <is>
          <t>115 Nowlin Ln Ste 5000</t>
        </is>
      </c>
      <c r="H366" s="9" t="inlineStr">
        <is>
          <t>37421</t>
        </is>
      </c>
      <c r="I366" s="9" t="n"/>
      <c r="J366" s="9" t="inlineStr">
        <is>
          <t>allmysons.com</t>
        </is>
      </c>
      <c r="K366" s="10" t="n"/>
      <c r="L366" s="10" t="n"/>
      <c r="M366" s="10" t="n"/>
      <c r="N366" s="10" t="n"/>
      <c r="O366" s="9" t="inlineStr">
        <is>
          <t>verified allmysons.com Chattanooga page live</t>
        </is>
      </c>
    </row>
    <row r="367">
      <c r="A367" s="13" t="inlineStr">
        <is>
          <t>B</t>
        </is>
      </c>
      <c r="B367" s="9" t="inlineStr">
        <is>
          <t>Not phone re-checked</t>
        </is>
      </c>
      <c r="C367" s="9" t="inlineStr">
        <is>
          <t>Ambrosetti Construction</t>
        </is>
      </c>
      <c r="D367" s="9" t="inlineStr">
        <is>
          <t>General Contractor (Residential &amp; Commercial)</t>
        </is>
      </c>
      <c r="E367" s="9" t="inlineStr">
        <is>
          <t>(423) 321-8767</t>
        </is>
      </c>
      <c r="F367" s="9" t="inlineStr">
        <is>
          <t>Chattanooga</t>
        </is>
      </c>
      <c r="G367" s="9" t="inlineStr">
        <is>
          <t>5571 Dayton Boulevard</t>
        </is>
      </c>
      <c r="H367" s="9" t="n"/>
      <c r="I367" s="9" t="n"/>
      <c r="J367" s="9" t="inlineStr">
        <is>
          <t>ambrosetticonstruction.com</t>
        </is>
      </c>
      <c r="K367" s="10" t="n"/>
      <c r="L367" s="10" t="n"/>
      <c r="M367" s="10" t="n"/>
      <c r="N367" s="10" t="n"/>
      <c r="O367" s="9" t="inlineStr">
        <is>
          <t>Gap-filled 2026-09-04: phone and address added.</t>
        </is>
      </c>
    </row>
    <row r="368">
      <c r="A368" s="13" t="inlineStr">
        <is>
          <t>B</t>
        </is>
      </c>
      <c r="B368" s="9" t="inlineStr">
        <is>
          <t>Not phone re-checked</t>
        </is>
      </c>
      <c r="C368" s="9" t="inlineStr">
        <is>
          <t>American Roofing Company LLC</t>
        </is>
      </c>
      <c r="D368" s="9" t="inlineStr">
        <is>
          <t>Roofing</t>
        </is>
      </c>
      <c r="E368" s="9" t="inlineStr">
        <is>
          <t>(423) 205-6010</t>
        </is>
      </c>
      <c r="F368" s="9" t="inlineStr">
        <is>
          <t>Chattanooga</t>
        </is>
      </c>
      <c r="G368" s="9" t="inlineStr">
        <is>
          <t>2611 E 40th St</t>
        </is>
      </c>
      <c r="H368" s="9" t="inlineStr">
        <is>
          <t>37407</t>
        </is>
      </c>
      <c r="I368" s="9" t="n"/>
      <c r="J368" s="9" t="inlineStr">
        <is>
          <t>roofyou.com</t>
        </is>
      </c>
      <c r="K368" s="10" t="n"/>
      <c r="L368" s="10" t="n"/>
      <c r="M368" s="10" t="n"/>
      <c r="N368" s="10" t="n"/>
      <c r="O368" s="9" t="inlineStr">
        <is>
          <t>verified roofyou.com live</t>
        </is>
      </c>
    </row>
    <row r="369">
      <c r="A369" s="13" t="inlineStr">
        <is>
          <t>B</t>
        </is>
      </c>
      <c r="B369" s="9" t="inlineStr">
        <is>
          <t>Not phone re-checked</t>
        </is>
      </c>
      <c r="C369" s="9" t="inlineStr">
        <is>
          <t>AmeriStone Premium Surfaces</t>
        </is>
      </c>
      <c r="D369" s="9" t="inlineStr">
        <is>
          <t>Countertop Fabrication &amp; Installation</t>
        </is>
      </c>
      <c r="E369" s="9" t="inlineStr">
        <is>
          <t>(423) 843-0003</t>
        </is>
      </c>
      <c r="F369" s="9" t="inlineStr">
        <is>
          <t>Hixson</t>
        </is>
      </c>
      <c r="G369" s="9" t="inlineStr">
        <is>
          <t>8822 C Dallas Hollow Road</t>
        </is>
      </c>
      <c r="H369" s="9" t="inlineStr">
        <is>
          <t>37343</t>
        </is>
      </c>
      <c r="I369" s="9" t="inlineStr">
        <is>
          <t>mathews1010@comcast.net</t>
        </is>
      </c>
      <c r="J369" s="9" t="inlineStr">
        <is>
          <t>ameristonecountertops.com</t>
        </is>
      </c>
      <c r="K369" s="10" t="n"/>
      <c r="L369" s="10" t="n"/>
      <c r="M369" s="10" t="n"/>
      <c r="N369" s="10" t="n"/>
      <c r="O369" s="9" t="inlineStr">
        <is>
          <t>Slab delivery and install trucks. Email is a personal comcast address - that is what they publish.</t>
        </is>
      </c>
    </row>
    <row r="370">
      <c r="A370" s="13" t="inlineStr">
        <is>
          <t>B</t>
        </is>
      </c>
      <c r="B370" s="9" t="inlineStr">
        <is>
          <t>Not phone re-checked</t>
        </is>
      </c>
      <c r="C370" s="9" t="inlineStr">
        <is>
          <t>Andy's Automotive</t>
        </is>
      </c>
      <c r="D370" s="9" t="inlineStr">
        <is>
          <t>Auto Repair</t>
        </is>
      </c>
      <c r="E370" s="9" t="inlineStr">
        <is>
          <t>(423) 785-6189</t>
        </is>
      </c>
      <c r="F370" s="9" t="inlineStr">
        <is>
          <t>Soddy-Daisy</t>
        </is>
      </c>
      <c r="G370" s="9" t="inlineStr">
        <is>
          <t>8644 El Dee Ln</t>
        </is>
      </c>
      <c r="H370" s="9" t="inlineStr">
        <is>
          <t>37379</t>
        </is>
      </c>
      <c r="I370" s="9" t="inlineStr">
        <is>
          <t>andysautomotive@epbfi.com</t>
        </is>
      </c>
      <c r="J370" s="9" t="inlineStr">
        <is>
          <t>andysautomotivetn.com</t>
        </is>
      </c>
      <c r="K370" s="10" t="n"/>
      <c r="L370" s="10" t="n"/>
      <c r="M370" s="10" t="n"/>
      <c r="N370" s="10" t="n"/>
      <c r="O370" s="9" t="inlineStr">
        <is>
          <t>Business-run page: address, phone and email confirmed, and found their website - the sheet had none.</t>
        </is>
      </c>
    </row>
    <row r="371">
      <c r="A371" s="13" t="inlineStr">
        <is>
          <t>B</t>
        </is>
      </c>
      <c r="B371" s="9" t="inlineStr">
        <is>
          <t>Not phone re-checked</t>
        </is>
      </c>
      <c r="C371" s="9" t="inlineStr">
        <is>
          <t>Arcus Restoration</t>
        </is>
      </c>
      <c r="D371" s="9" t="inlineStr">
        <is>
          <t>Restoration (Water/Fire/Storm)</t>
        </is>
      </c>
      <c r="E371" s="9" t="inlineStr">
        <is>
          <t>(423) 708-7517</t>
        </is>
      </c>
      <c r="F371" s="9" t="inlineStr">
        <is>
          <t>Chattanooga</t>
        </is>
      </c>
      <c r="G371" s="9" t="inlineStr">
        <is>
          <t>4626 Resource Dr Ste 107</t>
        </is>
      </c>
      <c r="H371" s="9" t="inlineStr">
        <is>
          <t>37406</t>
        </is>
      </c>
      <c r="I371" s="9" t="inlineStr">
        <is>
          <t>claims@arcusrestoration.com</t>
        </is>
      </c>
      <c r="J371" s="9" t="inlineStr">
        <is>
          <t>arcusrestoration.com</t>
        </is>
      </c>
      <c r="K371" s="10" t="n"/>
      <c r="L371" s="10" t="n"/>
      <c r="M371" s="10" t="n"/>
      <c r="N371" s="10" t="n"/>
      <c r="O371" s="9" t="inlineStr">
        <is>
          <t>verified arcusrestoration.com live</t>
        </is>
      </c>
    </row>
    <row r="372">
      <c r="A372" s="13" t="inlineStr">
        <is>
          <t>B</t>
        </is>
      </c>
      <c r="B372" s="9" t="inlineStr">
        <is>
          <t>Not phone re-checked</t>
        </is>
      </c>
      <c r="C372" s="9" t="inlineStr">
        <is>
          <t>ASP - America's Swimming Pool Company of Chattanooga</t>
        </is>
      </c>
      <c r="D372" s="9" t="inlineStr">
        <is>
          <t>Pool Service</t>
        </is>
      </c>
      <c r="E372" s="9" t="inlineStr">
        <is>
          <t>(423) 454-2917</t>
        </is>
      </c>
      <c r="F372" s="9" t="inlineStr">
        <is>
          <t>Chattanooga</t>
        </is>
      </c>
      <c r="G372" s="9" t="inlineStr">
        <is>
          <t>2401 Bachman St Ste 6</t>
        </is>
      </c>
      <c r="H372" s="9" t="inlineStr">
        <is>
          <t>37406</t>
        </is>
      </c>
      <c r="I372" s="9" t="n"/>
      <c r="J372" s="9" t="inlineStr">
        <is>
          <t>asppoolco.com</t>
        </is>
      </c>
      <c r="K372" s="10" t="n"/>
      <c r="L372" s="10" t="n"/>
      <c r="M372" s="10" t="n"/>
      <c r="N372" s="10" t="n"/>
      <c r="O372" s="9" t="inlineStr">
        <is>
          <t>verified asppoolco.com/chattanooga live</t>
        </is>
      </c>
    </row>
    <row r="373">
      <c r="A373" s="13" t="inlineStr">
        <is>
          <t>B</t>
        </is>
      </c>
      <c r="B373" s="9" t="inlineStr">
        <is>
          <t>Not phone re-checked</t>
        </is>
      </c>
      <c r="C373" s="9" t="inlineStr">
        <is>
          <t>Avis Car Rental (Hixson)</t>
        </is>
      </c>
      <c r="D373" s="9" t="inlineStr">
        <is>
          <t>Car Rental</t>
        </is>
      </c>
      <c r="E373" s="9" t="inlineStr">
        <is>
          <t>(423) 876-7629</t>
        </is>
      </c>
      <c r="F373" s="9" t="inlineStr">
        <is>
          <t>Hixson</t>
        </is>
      </c>
      <c r="G373" s="9" t="inlineStr">
        <is>
          <t>1966 Northpoint Blvd Ste 114</t>
        </is>
      </c>
      <c r="H373" s="9" t="inlineStr">
        <is>
          <t>37343</t>
        </is>
      </c>
      <c r="I373" s="9" t="n"/>
      <c r="J373" s="9" t="inlineStr">
        <is>
          <t>avis.com</t>
        </is>
      </c>
      <c r="K373" s="10" t="n"/>
      <c r="L373" s="10" t="n"/>
      <c r="M373" s="10" t="n"/>
      <c r="N373" s="10" t="n"/>
      <c r="O373" s="9" t="inlineStr">
        <is>
          <t>verified avis.com Hixson location live</t>
        </is>
      </c>
    </row>
    <row r="374">
      <c r="A374" s="13" t="inlineStr">
        <is>
          <t>B</t>
        </is>
      </c>
      <c r="B374" s="9" t="inlineStr">
        <is>
          <t>Not phone re-checked</t>
        </is>
      </c>
      <c r="C374" s="9" t="inlineStr">
        <is>
          <t>Ballard Lighting</t>
        </is>
      </c>
      <c r="D374" s="9" t="inlineStr">
        <is>
          <t>Wholesale Lighting Supply</t>
        </is>
      </c>
      <c r="E374" s="9" t="inlineStr">
        <is>
          <t>(423) 521-2655</t>
        </is>
      </c>
      <c r="F374" s="9" t="inlineStr">
        <is>
          <t>Chattanooga</t>
        </is>
      </c>
      <c r="G374" s="9" t="inlineStr">
        <is>
          <t>5210 Dayton Boulevard</t>
        </is>
      </c>
      <c r="H374" s="9" t="inlineStr">
        <is>
          <t>37415</t>
        </is>
      </c>
      <c r="I374" s="9" t="inlineStr">
        <is>
          <t>sales@ballardlightingco.com</t>
        </is>
      </c>
      <c r="J374" s="9" t="inlineStr">
        <is>
          <t>ballardlightingco.com</t>
        </is>
      </c>
      <c r="K374" s="10" t="n"/>
      <c r="L374" s="10" t="n"/>
      <c r="M374" s="10" t="n"/>
      <c r="N374" s="10" t="n"/>
      <c r="O374" s="9" t="inlineStr">
        <is>
          <t>Delivery vans to job sites. Publishes a real sales inbox.</t>
        </is>
      </c>
    </row>
    <row r="375">
      <c r="A375" s="13" t="inlineStr">
        <is>
          <t>B</t>
        </is>
      </c>
      <c r="B375" s="9" t="inlineStr">
        <is>
          <t>Not phone re-checked</t>
        </is>
      </c>
      <c r="C375" s="9" t="inlineStr">
        <is>
          <t>Basement and Crawlspace Solutions</t>
        </is>
      </c>
      <c r="D375" s="9" t="inlineStr">
        <is>
          <t>Foundation Repair / Waterproofing</t>
        </is>
      </c>
      <c r="E375" s="9" t="inlineStr">
        <is>
          <t>(423) 320-8883</t>
        </is>
      </c>
      <c r="F375" s="9" t="inlineStr">
        <is>
          <t>Chattanooga</t>
        </is>
      </c>
      <c r="G375" s="9" t="inlineStr">
        <is>
          <t>2108 South Watkins Street</t>
        </is>
      </c>
      <c r="H375" s="9" t="n"/>
      <c r="I375" s="9" t="n"/>
      <c r="J375" s="9" t="inlineStr">
        <is>
          <t>basementandcrawlspacesolutions.com</t>
        </is>
      </c>
      <c r="K375" s="10" t="n"/>
      <c r="L375" s="10" t="n"/>
      <c r="M375" s="10" t="n"/>
      <c r="N375" s="10" t="n"/>
      <c r="O375" s="9" t="inlineStr">
        <is>
          <t>Gap-filled 2026-09-04: phone, address and website all added. Foundation and waterproofing crews run box trucks and equipment trailers onto residential lots six days a week.</t>
        </is>
      </c>
    </row>
    <row r="376">
      <c r="A376" s="13" t="inlineStr">
        <is>
          <t>B</t>
        </is>
      </c>
      <c r="B376" s="9" t="inlineStr">
        <is>
          <t>Not phone re-checked</t>
        </is>
      </c>
      <c r="C376" s="9" t="inlineStr">
        <is>
          <t>Baxwin Scrap Iron</t>
        </is>
      </c>
      <c r="D376" s="9" t="inlineStr">
        <is>
          <t>Recycling / Scrap Metal</t>
        </is>
      </c>
      <c r="E376" s="9" t="inlineStr">
        <is>
          <t>(423) 267-1576</t>
        </is>
      </c>
      <c r="F376" s="9" t="inlineStr">
        <is>
          <t>Chattanooga</t>
        </is>
      </c>
      <c r="G376" s="9" t="inlineStr">
        <is>
          <t>2189 Broad St</t>
        </is>
      </c>
      <c r="H376" s="9" t="inlineStr">
        <is>
          <t>37408</t>
        </is>
      </c>
      <c r="I376" s="9" t="n"/>
      <c r="J376" s="9" t="n"/>
      <c r="K376" s="10" t="n"/>
      <c r="L376" s="10" t="n"/>
      <c r="M376" s="10" t="n"/>
      <c r="N376" s="10" t="n"/>
      <c r="O376" s="9" t="inlineStr">
        <is>
          <t>Gap-filled 2026-09-04: no official website. Phone and address already in the row were confirmed unchanged. Scrap yards run roll-off and grapple trucks.</t>
        </is>
      </c>
    </row>
    <row r="377">
      <c r="A377" s="13" t="inlineStr">
        <is>
          <t>B</t>
        </is>
      </c>
      <c r="B377" s="9" t="inlineStr">
        <is>
          <t>Not phone re-checked</t>
        </is>
      </c>
      <c r="C377" s="9" t="inlineStr">
        <is>
          <t>Bell Heating and Air Conditioning, LLC</t>
        </is>
      </c>
      <c r="D377" s="9" t="inlineStr">
        <is>
          <t>HVAC</t>
        </is>
      </c>
      <c r="E377" s="9" t="inlineStr">
        <is>
          <t>(423) 802-8837</t>
        </is>
      </c>
      <c r="F377" s="9" t="inlineStr">
        <is>
          <t>Soddy-Daisy</t>
        </is>
      </c>
      <c r="G377" s="9" t="inlineStr">
        <is>
          <t>12853 Old Dayton Pike</t>
        </is>
      </c>
      <c r="H377" s="9" t="inlineStr">
        <is>
          <t>37379</t>
        </is>
      </c>
      <c r="I377" s="9" t="n"/>
      <c r="J377" s="9" t="inlineStr">
        <is>
          <t>callbellheatingandair.com</t>
        </is>
      </c>
      <c r="K377" s="10" t="n"/>
      <c r="L377" s="10" t="n"/>
      <c r="M377" s="10" t="n"/>
      <c r="N377" s="10" t="n"/>
      <c r="O377" s="9" t="inlineStr">
        <is>
          <t>verified callbellheatingandair.com live</t>
        </is>
      </c>
    </row>
    <row r="378">
      <c r="A378" s="13" t="inlineStr">
        <is>
          <t>B</t>
        </is>
      </c>
      <c r="B378" s="9" t="inlineStr">
        <is>
          <t>Not phone re-checked</t>
        </is>
      </c>
      <c r="C378" s="9" t="inlineStr">
        <is>
          <t>Benton Oil Service, Inc.</t>
        </is>
      </c>
      <c r="D378" s="9" t="inlineStr">
        <is>
          <t>Fuel Oil / Diesel Delivery</t>
        </is>
      </c>
      <c r="E378" s="9" t="inlineStr">
        <is>
          <t>(423) 892-5211</t>
        </is>
      </c>
      <c r="F378" s="9" t="inlineStr">
        <is>
          <t>Chattanooga</t>
        </is>
      </c>
      <c r="G378" s="9" t="inlineStr">
        <is>
          <t>4831 Bonny Oaks Dr</t>
        </is>
      </c>
      <c r="H378" s="9" t="inlineStr">
        <is>
          <t>37416</t>
        </is>
      </c>
      <c r="I378" s="9" t="inlineStr">
        <is>
          <t>bentonoilservice@gmail.com</t>
        </is>
      </c>
      <c r="J378" s="9" t="inlineStr">
        <is>
          <t>bentonoilservice.com</t>
        </is>
      </c>
      <c r="K378" s="10" t="n"/>
      <c r="L378" s="10" t="n"/>
      <c r="M378" s="10" t="n"/>
      <c r="N378" s="10" t="n"/>
      <c r="O378" s="9" t="inlineStr">
        <is>
          <t>verified active since 1953; found email</t>
        </is>
      </c>
    </row>
    <row r="379">
      <c r="A379" s="13" t="inlineStr">
        <is>
          <t>B</t>
        </is>
      </c>
      <c r="B379" s="9" t="inlineStr">
        <is>
          <t>Not phone re-checked</t>
        </is>
      </c>
      <c r="C379" s="9" t="inlineStr">
        <is>
          <t>Berean Academy</t>
        </is>
      </c>
      <c r="D379" s="9" t="inlineStr">
        <is>
          <t>Private School (Pre-K to 12)</t>
        </is>
      </c>
      <c r="E379" s="9" t="inlineStr">
        <is>
          <t>(423) 877-1288</t>
        </is>
      </c>
      <c r="F379" s="9" t="inlineStr">
        <is>
          <t>Hixson</t>
        </is>
      </c>
      <c r="G379" s="9" t="inlineStr">
        <is>
          <t>441 Berean Lane</t>
        </is>
      </c>
      <c r="H379" s="9" t="inlineStr">
        <is>
          <t>37343</t>
        </is>
      </c>
      <c r="I379" s="9" t="n"/>
      <c r="J379" s="9" t="inlineStr">
        <is>
          <t>bereanacademy.net</t>
        </is>
      </c>
      <c r="K379" s="10" t="n"/>
      <c r="L379" s="10" t="n"/>
      <c r="M379" s="10" t="n"/>
      <c r="N379" s="10" t="n"/>
      <c r="O379" s="9" t="inlineStr">
        <is>
          <t>Gap-filled 2026-09-04: the row was completely empty - no website, phone or address - and now has all three. A PreK-12 school with 433 pupils runs buses and activity vans, which is the fleet worth talking about.</t>
        </is>
      </c>
    </row>
    <row r="380">
      <c r="A380" s="13" t="inlineStr">
        <is>
          <t>B</t>
        </is>
      </c>
      <c r="B380" s="9" t="inlineStr">
        <is>
          <t>Not phone re-checked</t>
        </is>
      </c>
      <c r="C380" s="9" t="inlineStr">
        <is>
          <t>Best Plumbing &amp; Heating Inc.</t>
        </is>
      </c>
      <c r="D380" s="9" t="inlineStr">
        <is>
          <t>Plumbing</t>
        </is>
      </c>
      <c r="E380" s="9" t="inlineStr">
        <is>
          <t>(423) 624-1620</t>
        </is>
      </c>
      <c r="F380" s="9" t="inlineStr">
        <is>
          <t>Chattanooga</t>
        </is>
      </c>
      <c r="G380" s="9" t="inlineStr">
        <is>
          <t>4231 Bonny Oaks Dr</t>
        </is>
      </c>
      <c r="H380" s="9" t="inlineStr">
        <is>
          <t>37406</t>
        </is>
      </c>
      <c r="I380" s="9" t="inlineStr">
        <is>
          <t>bestplbgheat@comcast.net</t>
        </is>
      </c>
      <c r="J380" s="9" t="inlineStr">
        <is>
          <t>bestplumbingchattanooga.com</t>
        </is>
      </c>
      <c r="K380" s="10" t="n"/>
      <c r="L380" s="10" t="n"/>
      <c r="M380" s="10" t="n"/>
      <c r="N380" s="10" t="n"/>
      <c r="O380" s="9" t="inlineStr">
        <is>
          <t>verified bestplumbingchattanooga.com live</t>
        </is>
      </c>
    </row>
    <row r="381">
      <c r="A381" s="13" t="inlineStr">
        <is>
          <t>B</t>
        </is>
      </c>
      <c r="B381" s="9" t="inlineStr">
        <is>
          <t>Not phone re-checked</t>
        </is>
      </c>
      <c r="C381" s="9" t="inlineStr">
        <is>
          <t>Bill Owens Heating &amp; Air Inc</t>
        </is>
      </c>
      <c r="D381" s="9" t="inlineStr">
        <is>
          <t>HVAC</t>
        </is>
      </c>
      <c r="E381" s="9" t="inlineStr">
        <is>
          <t>(423) 842-8081</t>
        </is>
      </c>
      <c r="F381" s="9" t="inlineStr">
        <is>
          <t>Hixson</t>
        </is>
      </c>
      <c r="G381" s="9" t="inlineStr">
        <is>
          <t>6252 Dayton Blvd</t>
        </is>
      </c>
      <c r="H381" s="9" t="inlineStr">
        <is>
          <t>37343</t>
        </is>
      </c>
      <c r="I381" s="9" t="n"/>
      <c r="J381" s="9" t="inlineStr">
        <is>
          <t>billowenshvac.com</t>
        </is>
      </c>
      <c r="K381" s="10" t="n"/>
      <c r="L381" s="10" t="n"/>
      <c r="M381" s="10" t="n"/>
      <c r="N381" s="10" t="n"/>
      <c r="O381" s="9" t="inlineStr">
        <is>
          <t>Gap-filled 2026-09-04: website added, phone and address confirmed unchanged. Their own staff page gives two direct sales lines worth having - Brian Owens on (423) 509-0792 and Tim White on (423) 777-8178. Service vans on the road daily.</t>
        </is>
      </c>
    </row>
    <row r="382">
      <c r="A382" s="13" t="inlineStr">
        <is>
          <t>B</t>
        </is>
      </c>
      <c r="B382" s="9" t="inlineStr">
        <is>
          <t>Not phone re-checked</t>
        </is>
      </c>
      <c r="C382" s="9" t="inlineStr">
        <is>
          <t>Bin There Dump That Chattanooga</t>
        </is>
      </c>
      <c r="D382" s="9" t="inlineStr">
        <is>
          <t>Waste Management / Dumpster Rental</t>
        </is>
      </c>
      <c r="E382" s="9" t="inlineStr">
        <is>
          <t>(423) 777-6898</t>
        </is>
      </c>
      <c r="F382" s="9" t="inlineStr">
        <is>
          <t>Hixson</t>
        </is>
      </c>
      <c r="G382" s="9" t="inlineStr">
        <is>
          <t>4810 Hixson Pike Ste 126</t>
        </is>
      </c>
      <c r="H382" s="9" t="inlineStr">
        <is>
          <t>37343</t>
        </is>
      </c>
      <c r="I382" s="9" t="inlineStr">
        <is>
          <t>chattanooga@bintheredumpthat.com</t>
        </is>
      </c>
      <c r="J382" s="9" t="inlineStr">
        <is>
          <t>bintheredumpthat.com/chattanooga-dumpster-rentals</t>
        </is>
      </c>
      <c r="K382" s="10" t="n"/>
      <c r="L382" s="10" t="n"/>
      <c r="M382" s="10" t="n"/>
      <c r="N382" s="10" t="n"/>
      <c r="O382" s="9" t="inlineStr">
        <is>
          <t>verified live; local office is in HIXSON</t>
        </is>
      </c>
    </row>
    <row r="383">
      <c r="A383" s="13" t="inlineStr">
        <is>
          <t>B</t>
        </is>
      </c>
      <c r="B383" s="9" t="inlineStr">
        <is>
          <t>Not phone re-checked</t>
        </is>
      </c>
      <c r="C383" s="9" t="inlineStr">
        <is>
          <t>Boutique Living By Curate</t>
        </is>
      </c>
      <c r="D383" s="9" t="inlineStr">
        <is>
          <t>Custom Home Builder</t>
        </is>
      </c>
      <c r="E383" s="9" t="inlineStr">
        <is>
          <t>(423) 589-1037</t>
        </is>
      </c>
      <c r="F383" s="9" t="inlineStr">
        <is>
          <t>Chattanooga</t>
        </is>
      </c>
      <c r="G383" s="9" t="inlineStr">
        <is>
          <t>1800 Rossville Ave #106</t>
        </is>
      </c>
      <c r="H383" s="9" t="inlineStr">
        <is>
          <t>37408</t>
        </is>
      </c>
      <c r="I383" s="9" t="inlineStr">
        <is>
          <t>info@curatechatt.com</t>
        </is>
      </c>
      <c r="J383" s="9" t="inlineStr">
        <is>
          <t>boutiquelivingbycurate.com</t>
        </is>
      </c>
      <c r="K383" s="10" t="n"/>
      <c r="L383" s="10" t="n"/>
      <c r="M383" s="10" t="n"/>
      <c r="N383" s="10" t="n"/>
      <c r="O383" s="9" t="inlineStr">
        <is>
          <t>Note the email domain is curatechatt.com, not the website domain. Full contact set.</t>
        </is>
      </c>
    </row>
    <row r="384">
      <c r="A384" s="13" t="inlineStr">
        <is>
          <t>B</t>
        </is>
      </c>
      <c r="B384" s="9" t="inlineStr">
        <is>
          <t>Not phone re-checked</t>
        </is>
      </c>
      <c r="C384" s="9" t="inlineStr">
        <is>
          <t>BrightBase</t>
        </is>
      </c>
      <c r="D384" s="9" t="inlineStr">
        <is>
          <t>Parking / Facilities Management</t>
        </is>
      </c>
      <c r="E384" s="9" t="inlineStr">
        <is>
          <t>(423) 599-1449</t>
        </is>
      </c>
      <c r="F384" s="9" t="inlineStr">
        <is>
          <t>Chattanooga</t>
        </is>
      </c>
      <c r="G384" s="9" t="inlineStr">
        <is>
          <t>605 Chestnut Street Suite 300</t>
        </is>
      </c>
      <c r="H384" s="9" t="n"/>
      <c r="I384" s="9" t="n"/>
      <c r="J384" s="9" t="inlineStr">
        <is>
          <t>brightbasemanagement.com</t>
        </is>
      </c>
      <c r="K384" s="10" t="n"/>
      <c r="L384" s="10" t="n"/>
      <c r="M384" s="10" t="n"/>
      <c r="N384" s="10" t="n"/>
      <c r="O384" s="9" t="inlineStr">
        <is>
          <t>Gap-filled 2026-09-04: phone, address and website added. Parking enforcement means patrol vehicles circulating downtown lots all day.</t>
        </is>
      </c>
    </row>
    <row r="385">
      <c r="A385" s="13" t="inlineStr">
        <is>
          <t>B</t>
        </is>
      </c>
      <c r="B385" s="9" t="inlineStr">
        <is>
          <t>Not phone re-checked</t>
        </is>
      </c>
      <c r="C385" s="9" t="inlineStr">
        <is>
          <t>Brown Fence Company Inc.</t>
        </is>
      </c>
      <c r="D385" s="9" t="inlineStr">
        <is>
          <t>Fencing / Gates</t>
        </is>
      </c>
      <c r="E385" s="9" t="inlineStr">
        <is>
          <t>(423) 698-2477</t>
        </is>
      </c>
      <c r="F385" s="9" t="inlineStr">
        <is>
          <t>Chattanooga</t>
        </is>
      </c>
      <c r="G385" s="9" t="inlineStr">
        <is>
          <t>4150 South Creek Road</t>
        </is>
      </c>
      <c r="H385" s="9" t="n"/>
      <c r="I385" s="9" t="n"/>
      <c r="J385" s="9" t="inlineStr">
        <is>
          <t>brownfenceco.com</t>
        </is>
      </c>
      <c r="K385" s="10" t="n"/>
      <c r="L385" s="10" t="n"/>
      <c r="M385" s="10" t="n"/>
      <c r="N385" s="10" t="n"/>
      <c r="O385" s="9" t="inlineStr">
        <is>
          <t>Gap-filled 2026-09-04: phone, address and website added. The oldest fence company in Chattanooga at 138 years - commercial and residential installs, gate fabrication and security gates, so flatbeds and crew trucks. Ask for Myra Brown.</t>
        </is>
      </c>
    </row>
    <row r="386">
      <c r="A386" s="13" t="inlineStr">
        <is>
          <t>B</t>
        </is>
      </c>
      <c r="B386" s="9" t="inlineStr">
        <is>
          <t>Not phone re-checked</t>
        </is>
      </c>
      <c r="C386" s="9" t="inlineStr">
        <is>
          <t>Builders Hardware Company of Chattanooga</t>
        </is>
      </c>
      <c r="D386" s="9" t="inlineStr">
        <is>
          <t>Builders Hardware Supply</t>
        </is>
      </c>
      <c r="E386" s="9" t="inlineStr">
        <is>
          <t>(423) 629-4305</t>
        </is>
      </c>
      <c r="F386" s="9" t="inlineStr">
        <is>
          <t>Chattanooga</t>
        </is>
      </c>
      <c r="G386" s="9" t="inlineStr">
        <is>
          <t>2904 Dodds Avenue</t>
        </is>
      </c>
      <c r="H386" s="9" t="n"/>
      <c r="I386" s="9" t="n"/>
      <c r="J386" s="9" t="inlineStr">
        <is>
          <t>buildershardware-chat.com</t>
        </is>
      </c>
      <c r="K386" s="10" t="n"/>
      <c r="L386" s="10" t="n"/>
      <c r="M386" s="10" t="n"/>
      <c r="N386" s="10" t="n"/>
      <c r="O386" s="9" t="inlineStr">
        <is>
          <t>Gap-filled 2026-09-04: phone, address and website added. This is the real Chattanooga firm - not to be confused with Builders Hardware of Marshall, MICHIGAN, which was rejected from the Vibe queue earlier for exactly that mix-up. Supply trucks delivering doors and frames to job sites.</t>
        </is>
      </c>
    </row>
    <row r="387">
      <c r="A387" s="13" t="inlineStr">
        <is>
          <t>B</t>
        </is>
      </c>
      <c r="B387" s="9" t="inlineStr">
        <is>
          <t>Not phone re-checked</t>
        </is>
      </c>
      <c r="C387" s="9" t="inlineStr">
        <is>
          <t>Building Management Consultants</t>
        </is>
      </c>
      <c r="D387" s="9" t="inlineStr">
        <is>
          <t>Building Envelope / Roof Asset Consulting</t>
        </is>
      </c>
      <c r="E387" s="9" t="inlineStr">
        <is>
          <t>(423) 309-2027</t>
        </is>
      </c>
      <c r="F387" s="9" t="inlineStr">
        <is>
          <t>Chattanooga</t>
        </is>
      </c>
      <c r="G387" s="9" t="inlineStr">
        <is>
          <t>Shallowford Road, Suite 104</t>
        </is>
      </c>
      <c r="H387" s="9" t="inlineStr">
        <is>
          <t>37421</t>
        </is>
      </c>
      <c r="I387" s="9" t="inlineStr">
        <is>
          <t>info@bmcusa.net</t>
        </is>
      </c>
      <c r="J387" s="9" t="inlineStr">
        <is>
          <t>bmcusa.net</t>
        </is>
      </c>
      <c r="K387" s="10" t="n"/>
      <c r="L387" s="10" t="n"/>
      <c r="M387" s="10" t="n"/>
      <c r="N387" s="10" t="n"/>
      <c r="O387" s="9" t="inlineStr">
        <is>
          <t>Inspectors drive to roofs across the region. Only the road name is published, no street number.</t>
        </is>
      </c>
    </row>
    <row r="388">
      <c r="A388" s="13" t="inlineStr">
        <is>
          <t>B</t>
        </is>
      </c>
      <c r="B388" s="9" t="inlineStr">
        <is>
          <t>Not phone re-checked</t>
        </is>
      </c>
      <c r="C388" s="9" t="inlineStr">
        <is>
          <t>Building Services, Inc. (BSI)</t>
        </is>
      </c>
      <c r="D388" s="9" t="inlineStr">
        <is>
          <t>Commercial Janitorial / Facility Services</t>
        </is>
      </c>
      <c r="E388" s="9" t="inlineStr">
        <is>
          <t>(423) 622-7770</t>
        </is>
      </c>
      <c r="F388" s="9" t="inlineStr">
        <is>
          <t>Chattanooga</t>
        </is>
      </c>
      <c r="G388" s="9" t="inlineStr">
        <is>
          <t>6701 Shallowford Road</t>
        </is>
      </c>
      <c r="H388" s="9" t="inlineStr">
        <is>
          <t>37421</t>
        </is>
      </c>
      <c r="I388" s="9" t="inlineStr">
        <is>
          <t>scottharris@buildingservices1990.com</t>
        </is>
      </c>
      <c r="J388" s="9" t="inlineStr">
        <is>
          <t>bsichatt.com</t>
        </is>
      </c>
      <c r="K388" s="10" t="n"/>
      <c r="L388" s="10" t="n"/>
      <c r="M388" s="10" t="n"/>
      <c r="N388" s="10" t="n"/>
      <c r="O388" s="9" t="inlineStr">
        <is>
          <t>New lead. Nightly crews across the Chattanooga area. Ask for Scott Harris - his direct line and email are both published.</t>
        </is>
      </c>
    </row>
    <row r="389">
      <c r="A389" s="13" t="inlineStr">
        <is>
          <t>B</t>
        </is>
      </c>
      <c r="B389" s="9" t="inlineStr">
        <is>
          <t>Not phone re-checked</t>
        </is>
      </c>
      <c r="C389" s="9" t="inlineStr">
        <is>
          <t>Cabeen Originals</t>
        </is>
      </c>
      <c r="D389" s="9" t="inlineStr">
        <is>
          <t>Architectural Millwork</t>
        </is>
      </c>
      <c r="E389" s="9" t="inlineStr">
        <is>
          <t>(423) 521-0797</t>
        </is>
      </c>
      <c r="F389" s="9" t="inlineStr">
        <is>
          <t>Chattanooga</t>
        </is>
      </c>
      <c r="G389" s="9" t="inlineStr">
        <is>
          <t>2305 Dodson Ave., Suite C</t>
        </is>
      </c>
      <c r="H389" s="9" t="inlineStr">
        <is>
          <t>37406</t>
        </is>
      </c>
      <c r="I389" s="9" t="inlineStr">
        <is>
          <t>info@cabeenoriginals.com</t>
        </is>
      </c>
      <c r="J389" s="9" t="inlineStr">
        <is>
          <t>cabeenoriginals.com</t>
        </is>
      </c>
      <c r="K389" s="10" t="n"/>
      <c r="L389" s="10" t="n"/>
      <c r="M389" s="10" t="n"/>
      <c r="N389" s="10" t="n"/>
      <c r="O389" s="9" t="inlineStr">
        <is>
          <t>Millwork delivery and install trucks. Full contact set.</t>
        </is>
      </c>
    </row>
    <row r="390">
      <c r="A390" s="13" t="inlineStr">
        <is>
          <t>B</t>
        </is>
      </c>
      <c r="B390" s="9" t="inlineStr">
        <is>
          <t>Not phone re-checked</t>
        </is>
      </c>
      <c r="C390" s="9" t="inlineStr">
        <is>
          <t>Chambers Welding Fabrication Corp.</t>
        </is>
      </c>
      <c r="D390" s="9" t="inlineStr">
        <is>
          <t>Welding &amp; Metal Fabrication</t>
        </is>
      </c>
      <c r="E390" s="9" t="inlineStr">
        <is>
          <t>(423) 401-0422</t>
        </is>
      </c>
      <c r="F390" s="9" t="inlineStr">
        <is>
          <t>Chattanooga</t>
        </is>
      </c>
      <c r="G390" s="9" t="inlineStr">
        <is>
          <t>1009 Taft Avenue</t>
        </is>
      </c>
      <c r="H390" s="9" t="n"/>
      <c r="I390" s="9" t="inlineStr">
        <is>
          <t>chambersweldingteam@gmail.com</t>
        </is>
      </c>
      <c r="J390" s="9" t="inlineStr">
        <is>
          <t>chambersweldingfabrication.com</t>
        </is>
      </c>
      <c r="K390" s="10" t="n"/>
      <c r="L390" s="10" t="n"/>
      <c r="M390" s="10" t="n"/>
      <c r="N390" s="10" t="n"/>
      <c r="O390" s="9" t="inlineStr">
        <is>
          <t>Gap-filled 2026-09-04: phone, email, address and website all added. Mobile welding and metal repair means a service truck on site work. Note 1009 Taft Avenue is the same address as Metal Makers Classes, already on the list - shared building.</t>
        </is>
      </c>
    </row>
    <row r="391">
      <c r="A391" s="13" t="inlineStr">
        <is>
          <t>B</t>
        </is>
      </c>
      <c r="B391" s="9" t="inlineStr">
        <is>
          <t>Not phone re-checked</t>
        </is>
      </c>
      <c r="C391" s="9" t="inlineStr">
        <is>
          <t>Chatt Town Auto Brokers</t>
        </is>
      </c>
      <c r="D391" s="9" t="inlineStr">
        <is>
          <t>Automotive Wholesaler</t>
        </is>
      </c>
      <c r="E391" s="9" t="inlineStr">
        <is>
          <t>(423) 994-3453</t>
        </is>
      </c>
      <c r="F391" s="9" t="inlineStr">
        <is>
          <t>Hixson</t>
        </is>
      </c>
      <c r="G391" s="9" t="inlineStr">
        <is>
          <t>5225 TN-153</t>
        </is>
      </c>
      <c r="H391" s="9" t="inlineStr">
        <is>
          <t>37343</t>
        </is>
      </c>
      <c r="I391" s="9" t="n"/>
      <c r="J391" s="9" t="inlineStr">
        <is>
          <t>chattownautobrokers.com</t>
        </is>
      </c>
      <c r="K391" s="10" t="n"/>
      <c r="L391" s="10" t="n"/>
      <c r="M391" s="10" t="n"/>
      <c r="N391" s="10" t="n"/>
      <c r="O391" s="9" t="inlineStr">
        <is>
          <t>found website; 5206 Austin Rd Hixson confirmed</t>
        </is>
      </c>
    </row>
    <row r="392">
      <c r="A392" s="13" t="inlineStr">
        <is>
          <t>B</t>
        </is>
      </c>
      <c r="B392" s="9" t="inlineStr">
        <is>
          <t>Not phone re-checked</t>
        </is>
      </c>
      <c r="C392" s="9" t="inlineStr">
        <is>
          <t>Chattanooga Appliance</t>
        </is>
      </c>
      <c r="D392" s="9" t="inlineStr">
        <is>
          <t>Appliance Repair (Mobile Service)</t>
        </is>
      </c>
      <c r="E392" s="9" t="inlineStr">
        <is>
          <t>(423) 870-4339</t>
        </is>
      </c>
      <c r="F392" s="9" t="inlineStr">
        <is>
          <t>Chattanooga</t>
        </is>
      </c>
      <c r="G392" s="9" t="inlineStr">
        <is>
          <t>5966 Dayton Blvd</t>
        </is>
      </c>
      <c r="H392" s="9" t="inlineStr">
        <is>
          <t>37415</t>
        </is>
      </c>
      <c r="I392" s="9" t="n"/>
      <c r="J392" s="9" t="n"/>
      <c r="K392" s="10" t="n"/>
      <c r="L392" s="10" t="n"/>
      <c r="M392" s="10" t="n"/>
      <c r="N392" s="10" t="n"/>
      <c r="O392" s="9" t="inlineStr">
        <is>
          <t>Gap-filled 2026-09-04: no official website could be tied to this business. A chattanoogaappliancerepair.com exists but nothing links it to this company at 5966 Dayton Blvd, and the area has several similarly named appliance firms, so it is not recorded. Phone in the row is unchanged.</t>
        </is>
      </c>
    </row>
    <row r="393">
      <c r="A393" s="13" t="inlineStr">
        <is>
          <t>B</t>
        </is>
      </c>
      <c r="B393" s="9" t="inlineStr">
        <is>
          <t>Not phone re-checked</t>
        </is>
      </c>
      <c r="C393" s="9" t="inlineStr">
        <is>
          <t>Chattanooga Area Food Bank</t>
        </is>
      </c>
      <c r="D393" s="9" t="inlineStr">
        <is>
          <t>Large Nonprofit (Food Distribution)</t>
        </is>
      </c>
      <c r="E393" s="9" t="inlineStr">
        <is>
          <t>(423) 622-1800</t>
        </is>
      </c>
      <c r="F393" s="9" t="inlineStr">
        <is>
          <t>Chattanooga</t>
        </is>
      </c>
      <c r="G393" s="9" t="inlineStr">
        <is>
          <t>2009 Curtain Pole Rd</t>
        </is>
      </c>
      <c r="H393" s="9" t="inlineStr">
        <is>
          <t>37406</t>
        </is>
      </c>
      <c r="I393" s="9" t="inlineStr">
        <is>
          <t>gifts@chattfoodbank.org</t>
        </is>
      </c>
      <c r="J393" s="9" t="inlineStr">
        <is>
          <t>chattfoodbank.org</t>
        </is>
      </c>
      <c r="K393" s="10" t="n"/>
      <c r="L393" s="10" t="n"/>
      <c r="M393" s="10" t="n"/>
      <c r="N393" s="10" t="n"/>
      <c r="O393" s="9" t="inlineStr">
        <is>
          <t>verified chattfoodbank.org live</t>
        </is>
      </c>
    </row>
    <row r="394">
      <c r="A394" s="13" t="inlineStr">
        <is>
          <t>B</t>
        </is>
      </c>
      <c r="B394" s="9" t="inlineStr">
        <is>
          <t>Not phone re-checked</t>
        </is>
      </c>
      <c r="C394" s="9" t="inlineStr">
        <is>
          <t>Chattanooga Battlefield Plumbing (Chattanooga Plumbing Inc.)</t>
        </is>
      </c>
      <c r="D394" s="9" t="inlineStr">
        <is>
          <t>Plumbing</t>
        </is>
      </c>
      <c r="E394" s="9" t="inlineStr">
        <is>
          <t>(423) 266-3271</t>
        </is>
      </c>
      <c r="F394" s="9" t="inlineStr">
        <is>
          <t>Chattanooga</t>
        </is>
      </c>
      <c r="G394" s="9" t="inlineStr">
        <is>
          <t>1016 Dallas Rd Ste 201</t>
        </is>
      </c>
      <c r="H394" s="9" t="inlineStr">
        <is>
          <t>37405</t>
        </is>
      </c>
      <c r="I394" s="9" t="inlineStr">
        <is>
          <t>office@cbplumber.com</t>
        </is>
      </c>
      <c r="J394" s="9" t="inlineStr">
        <is>
          <t>cbplumber.com</t>
        </is>
      </c>
      <c r="K394" s="10" t="n"/>
      <c r="L394" s="10" t="n"/>
      <c r="M394" s="10" t="n"/>
      <c r="N394" s="10" t="n"/>
      <c r="O394" s="9" t="inlineStr">
        <is>
          <t>verified cbplumber.com live; since 1928</t>
        </is>
      </c>
    </row>
    <row r="395">
      <c r="A395" s="13" t="inlineStr">
        <is>
          <t>B</t>
        </is>
      </c>
      <c r="B395" s="9" t="inlineStr">
        <is>
          <t>Not phone re-checked</t>
        </is>
      </c>
      <c r="C395" s="9" t="inlineStr">
        <is>
          <t>Chattanooga Environmental Lab, LLC</t>
        </is>
      </c>
      <c r="D395" s="9" t="inlineStr">
        <is>
          <t>Environmental &amp; Microbiological Testing Lab</t>
        </is>
      </c>
      <c r="E395" s="9" t="inlineStr">
        <is>
          <t>(423) 777-5220</t>
        </is>
      </c>
      <c r="F395" s="9" t="inlineStr">
        <is>
          <t>Chattanooga</t>
        </is>
      </c>
      <c r="G395" s="9" t="inlineStr">
        <is>
          <t>402 Riverside Avenue</t>
        </is>
      </c>
      <c r="H395" s="9" t="inlineStr">
        <is>
          <t>37405</t>
        </is>
      </c>
      <c r="I395" s="9" t="n"/>
      <c r="J395" s="9" t="inlineStr">
        <is>
          <t>chattalab.com</t>
        </is>
      </c>
      <c r="K395" s="10" t="n"/>
      <c r="L395" s="10" t="n"/>
      <c r="M395" s="10" t="n"/>
      <c r="N395" s="10" t="n"/>
      <c r="O395" s="9" t="inlineStr">
        <is>
          <t>Sample couriers collect from client sites, so there are vehicles - but it is a small lab.</t>
        </is>
      </c>
    </row>
    <row r="396">
      <c r="A396" s="13" t="inlineStr">
        <is>
          <t>B</t>
        </is>
      </c>
      <c r="B396" s="9" t="inlineStr">
        <is>
          <t>Not phone re-checked</t>
        </is>
      </c>
      <c r="C396" s="9" t="inlineStr">
        <is>
          <t>Chattanooga Funeral Home, Crematory &amp; Florist - East Chapel</t>
        </is>
      </c>
      <c r="D396" s="9" t="inlineStr">
        <is>
          <t>Funeral Home (multi-chapel chain)</t>
        </is>
      </c>
      <c r="E396" s="9" t="inlineStr">
        <is>
          <t>(423) 698-2541</t>
        </is>
      </c>
      <c r="F396" s="9" t="inlineStr">
        <is>
          <t>East Ridge</t>
        </is>
      </c>
      <c r="G396" s="9" t="inlineStr">
        <is>
          <t>404 S Moore Rd</t>
        </is>
      </c>
      <c r="H396" s="9" t="inlineStr">
        <is>
          <t>37412</t>
        </is>
      </c>
      <c r="I396" s="9" t="n"/>
      <c r="J396" s="9" t="inlineStr">
        <is>
          <t>dignitymemorial.com</t>
        </is>
      </c>
      <c r="K396" s="10" t="n"/>
      <c r="L396" s="10" t="n"/>
      <c r="M396" s="10" t="n"/>
      <c r="N396" s="10" t="n"/>
      <c r="O396" s="9" t="inlineStr">
        <is>
          <t>verified dignitymemorial.com East Chapel page live</t>
        </is>
      </c>
    </row>
    <row r="397">
      <c r="A397" s="13" t="inlineStr">
        <is>
          <t>B</t>
        </is>
      </c>
      <c r="B397" s="9" t="inlineStr">
        <is>
          <t>Not phone re-checked</t>
        </is>
      </c>
      <c r="C397" s="9" t="inlineStr">
        <is>
          <t>Chattanooga Funeral Home, Crematory &amp; Florist - North Chapel</t>
        </is>
      </c>
      <c r="D397" s="9" t="inlineStr">
        <is>
          <t>Funeral Home (multi-chapel chain)</t>
        </is>
      </c>
      <c r="E397" s="9" t="inlineStr">
        <is>
          <t>(423) 698-2541</t>
        </is>
      </c>
      <c r="F397" s="9" t="inlineStr">
        <is>
          <t>Hixson</t>
        </is>
      </c>
      <c r="G397" s="9" t="inlineStr">
        <is>
          <t>5401 Hwy 153</t>
        </is>
      </c>
      <c r="H397" s="9" t="inlineStr">
        <is>
          <t>37343</t>
        </is>
      </c>
      <c r="I397" s="9" t="n"/>
      <c r="J397" s="9" t="inlineStr">
        <is>
          <t>dignitymemorial.com</t>
        </is>
      </c>
      <c r="K397" s="10" t="n"/>
      <c r="L397" s="10" t="n"/>
      <c r="M397" s="10" t="n"/>
      <c r="N397" s="10" t="n"/>
      <c r="O397" s="9" t="inlineStr">
        <is>
          <t>verified dignitymemorial.com North Chapel page live</t>
        </is>
      </c>
    </row>
    <row r="398">
      <c r="A398" s="13" t="inlineStr">
        <is>
          <t>B</t>
        </is>
      </c>
      <c r="B398" s="9" t="inlineStr">
        <is>
          <t>Not phone re-checked</t>
        </is>
      </c>
      <c r="C398" s="9" t="inlineStr">
        <is>
          <t>Chattanooga Funeral Home, Crematory &amp; Florist - Valley View Chapel</t>
        </is>
      </c>
      <c r="D398" s="9" t="inlineStr">
        <is>
          <t>Funeral Home (multi-chapel chain)</t>
        </is>
      </c>
      <c r="E398" s="9" t="inlineStr">
        <is>
          <t>(423) 698-2541</t>
        </is>
      </c>
      <c r="F398" s="9" t="inlineStr">
        <is>
          <t>Chattanooga</t>
        </is>
      </c>
      <c r="G398" s="9" t="inlineStr">
        <is>
          <t>7414 Old Lee Hwy</t>
        </is>
      </c>
      <c r="H398" s="9" t="inlineStr">
        <is>
          <t>37421</t>
        </is>
      </c>
      <c r="I398" s="9" t="n"/>
      <c r="J398" s="9" t="inlineStr">
        <is>
          <t>dignitymemorial.com</t>
        </is>
      </c>
      <c r="K398" s="10" t="n"/>
      <c r="L398" s="10" t="n"/>
      <c r="M398" s="10" t="n"/>
      <c r="N398" s="10" t="n"/>
      <c r="O398" s="9" t="inlineStr">
        <is>
          <t>SHARED NUMBER 2026-09-05: rows 149, 150 and 151 are three DIFFERENT chapels of one operation - Valley View (7414 Old Lee Hwy), North (5401 Hwy 153, Hixson) and East (404 S Moore Rd, East Ridge) - all reached on the same central line, (423) 698-2541, all on dignitymemorial.com. Genuinely three locations, not duplicate rows, but ONE phone call covers all three: ask for whoever runs the vehicle fleet group-wide. Funeral homes run hearses, limousines and lead cars - low mileage but high-value glass, and appearance matters to them more than to most fleets.</t>
        </is>
      </c>
    </row>
    <row r="399">
      <c r="A399" s="13" t="inlineStr">
        <is>
          <t>B</t>
        </is>
      </c>
      <c r="B399" s="9" t="inlineStr">
        <is>
          <t>Not phone re-checked</t>
        </is>
      </c>
      <c r="C399" s="9" t="inlineStr">
        <is>
          <t>Chattanooga Garage Door</t>
        </is>
      </c>
      <c r="D399" s="9" t="inlineStr">
        <is>
          <t>Garage Door</t>
        </is>
      </c>
      <c r="E399" s="9" t="inlineStr">
        <is>
          <t>(423) 899-3225</t>
        </is>
      </c>
      <c r="F399" s="9" t="inlineStr">
        <is>
          <t>Chattanooga</t>
        </is>
      </c>
      <c r="G399" s="9" t="inlineStr">
        <is>
          <t>5851 Fisk Ave</t>
        </is>
      </c>
      <c r="H399" s="9" t="inlineStr">
        <is>
          <t>37421</t>
        </is>
      </c>
      <c r="I399" s="9" t="inlineStr">
        <is>
          <t>will@chattanoogagaragedoors.com</t>
        </is>
      </c>
      <c r="J399" s="9" t="inlineStr">
        <is>
          <t>chattanoogagaragedoors.com</t>
        </is>
      </c>
      <c r="K399" s="10" t="n"/>
      <c r="L399" s="10" t="n"/>
      <c r="M399" s="10" t="n"/>
      <c r="N399" s="10" t="n"/>
      <c r="O399" s="9" t="inlineStr">
        <is>
          <t>found website+email; 25+ yrs</t>
        </is>
      </c>
    </row>
    <row r="400">
      <c r="A400" s="13" t="inlineStr">
        <is>
          <t>B</t>
        </is>
      </c>
      <c r="B400" s="9" t="inlineStr">
        <is>
          <t>Not phone re-checked</t>
        </is>
      </c>
      <c r="C400" s="9" t="inlineStr">
        <is>
          <t>Chattanooga Home Inspector (My City Home Inspection)</t>
        </is>
      </c>
      <c r="D400" s="9" t="inlineStr">
        <is>
          <t>Home Inspection</t>
        </is>
      </c>
      <c r="E400" s="9" t="inlineStr">
        <is>
          <t>(423) 284-1510</t>
        </is>
      </c>
      <c r="F400" s="9" t="inlineStr">
        <is>
          <t>Chattanooga</t>
        </is>
      </c>
      <c r="G400" s="9" t="inlineStr">
        <is>
          <t>5957 Dayton Blvd Ste A</t>
        </is>
      </c>
      <c r="H400" s="9" t="inlineStr">
        <is>
          <t>37415</t>
        </is>
      </c>
      <c r="I400" s="9" t="inlineStr">
        <is>
          <t>support@mycityhomeinspector.com</t>
        </is>
      </c>
      <c r="J400" s="9" t="inlineStr">
        <is>
          <t>chattanoogahomeinspector.com</t>
        </is>
      </c>
      <c r="K400" s="10" t="n"/>
      <c r="L400" s="10" t="n"/>
      <c r="M400" s="10" t="n"/>
      <c r="N400" s="10" t="n"/>
      <c r="O400" s="9" t="inlineStr">
        <is>
          <t>verified chattanoogahomeinspector.com live; since 2014</t>
        </is>
      </c>
    </row>
    <row r="401">
      <c r="A401" s="13" t="inlineStr">
        <is>
          <t>B</t>
        </is>
      </c>
      <c r="B401" s="9" t="inlineStr">
        <is>
          <t>Not phone re-checked</t>
        </is>
      </c>
      <c r="C401" s="9" t="inlineStr">
        <is>
          <t>Chattanooga Land Design</t>
        </is>
      </c>
      <c r="D401" s="9" t="inlineStr">
        <is>
          <t>Landscape Design/Build &amp; Pool Construction</t>
        </is>
      </c>
      <c r="E401" s="9" t="inlineStr">
        <is>
          <t>(423) 280-9573</t>
        </is>
      </c>
      <c r="F401" s="9" t="inlineStr">
        <is>
          <t>Ooltewah</t>
        </is>
      </c>
      <c r="G401" s="9" t="n"/>
      <c r="H401" s="9" t="inlineStr">
        <is>
          <t>37363</t>
        </is>
      </c>
      <c r="I401" s="9" t="n"/>
      <c r="J401" s="9" t="inlineStr">
        <is>
          <t>chattanoogalanddesign.com</t>
        </is>
      </c>
      <c r="K401" s="10" t="n"/>
      <c r="L401" s="10" t="n"/>
      <c r="M401" s="10" t="n"/>
      <c r="N401" s="10" t="n"/>
      <c r="O401" s="9" t="inlineStr">
        <is>
          <t>Design/build landscaping plus gunite pool construction means excavators, dump trailers and crew trucks on residential sites - more fleet than the 1-10 headcount suggests, though still a small operation. Their own site publishes no street address, so the record's 5419 Woodbridge Drive is left off. Service area reaches well beyond Hamilton County, which means highway miles.</t>
        </is>
      </c>
    </row>
    <row r="402">
      <c r="A402" s="13" t="inlineStr">
        <is>
          <t>B</t>
        </is>
      </c>
      <c r="B402" s="9" t="inlineStr">
        <is>
          <t>Not phone re-checked</t>
        </is>
      </c>
      <c r="C402" s="9" t="inlineStr">
        <is>
          <t>Chattanooga Mobile Detailing</t>
        </is>
      </c>
      <c r="D402" s="9" t="inlineStr">
        <is>
          <t>Automotive Detailer</t>
        </is>
      </c>
      <c r="E402" s="9" t="inlineStr">
        <is>
          <t>(423) 320-9289</t>
        </is>
      </c>
      <c r="F402" s="9" t="inlineStr">
        <is>
          <t>Chattanooga</t>
        </is>
      </c>
      <c r="G402" s="9" t="inlineStr">
        <is>
          <t>8269 Danube Dr</t>
        </is>
      </c>
      <c r="H402" s="9" t="inlineStr">
        <is>
          <t>37421</t>
        </is>
      </c>
      <c r="I402" s="9" t="n"/>
      <c r="J402" s="9" t="inlineStr">
        <is>
          <t>chattanoogamobiledetailing.com</t>
        </is>
      </c>
      <c r="K402" s="10" t="n"/>
      <c r="L402" s="10" t="n"/>
      <c r="M402" s="10" t="n"/>
      <c r="N402" s="10" t="n"/>
      <c r="O402" s="9" t="inlineStr">
        <is>
          <t>found website</t>
        </is>
      </c>
    </row>
    <row r="403">
      <c r="A403" s="13" t="inlineStr">
        <is>
          <t>B</t>
        </is>
      </c>
      <c r="B403" s="9" t="inlineStr">
        <is>
          <t>Not phone re-checked</t>
        </is>
      </c>
      <c r="C403" s="9" t="inlineStr">
        <is>
          <t>Chattanooga Pool Services</t>
        </is>
      </c>
      <c r="D403" s="9" t="inlineStr">
        <is>
          <t>Pool Service</t>
        </is>
      </c>
      <c r="E403" s="9" t="inlineStr">
        <is>
          <t>(423) 602-2999</t>
        </is>
      </c>
      <c r="F403" s="9" t="inlineStr">
        <is>
          <t>Chattanooga</t>
        </is>
      </c>
      <c r="G403" s="9" t="inlineStr">
        <is>
          <t>7249 Aventine Way</t>
        </is>
      </c>
      <c r="H403" s="9" t="inlineStr">
        <is>
          <t>37421</t>
        </is>
      </c>
      <c r="I403" s="9" t="n"/>
      <c r="J403" s="9" t="inlineStr">
        <is>
          <t>chattanoogapoolservices.com</t>
        </is>
      </c>
      <c r="K403" s="10" t="n"/>
      <c r="L403" s="10" t="n"/>
      <c r="M403" s="10" t="n"/>
      <c r="N403" s="10" t="n"/>
      <c r="O403" s="9" t="inlineStr">
        <is>
          <t>found website</t>
        </is>
      </c>
    </row>
    <row r="404">
      <c r="A404" s="13" t="inlineStr">
        <is>
          <t>B</t>
        </is>
      </c>
      <c r="B404" s="9" t="inlineStr">
        <is>
          <t>Not phone re-checked</t>
        </is>
      </c>
      <c r="C404" s="9" t="inlineStr">
        <is>
          <t>Chattanooga Propane, LLC</t>
        </is>
      </c>
      <c r="D404" s="9" t="inlineStr">
        <is>
          <t>Propane / Fuel Delivery</t>
        </is>
      </c>
      <c r="E404" s="9" t="inlineStr">
        <is>
          <t>(423) 238-5930</t>
        </is>
      </c>
      <c r="F404" s="9" t="inlineStr">
        <is>
          <t>Ooltewah</t>
        </is>
      </c>
      <c r="G404" s="9" t="inlineStr">
        <is>
          <t>9536 Lee Hwy</t>
        </is>
      </c>
      <c r="H404" s="9" t="inlineStr">
        <is>
          <t>37363</t>
        </is>
      </c>
      <c r="I404" s="9" t="n"/>
      <c r="J404" s="9" t="inlineStr">
        <is>
          <t>chattanoogapropane.com</t>
        </is>
      </c>
      <c r="K404" s="10" t="n"/>
      <c r="L404" s="10" t="n"/>
      <c r="M404" s="10" t="n"/>
      <c r="N404" s="10" t="n"/>
      <c r="O404" s="9" t="inlineStr">
        <is>
          <t>CORRECTED city: Ooltewah not Collegedale. Phone confirmed; family owned since 1998</t>
        </is>
      </c>
    </row>
    <row r="405">
      <c r="A405" s="13" t="inlineStr">
        <is>
          <t>B</t>
        </is>
      </c>
      <c r="B405" s="9" t="inlineStr">
        <is>
          <t>Not phone re-checked</t>
        </is>
      </c>
      <c r="C405" s="9" t="inlineStr">
        <is>
          <t>Chattanooga Property Management LLC</t>
        </is>
      </c>
      <c r="D405" s="9" t="inlineStr">
        <is>
          <t>Property Management</t>
        </is>
      </c>
      <c r="E405" s="9" t="inlineStr">
        <is>
          <t>(423) 208-9444</t>
        </is>
      </c>
      <c r="F405" s="9" t="inlineStr">
        <is>
          <t>Chattanooga</t>
        </is>
      </c>
      <c r="G405" s="9" t="inlineStr">
        <is>
          <t>1504 S Smith St</t>
        </is>
      </c>
      <c r="H405" s="9" t="n"/>
      <c r="I405" s="9" t="inlineStr">
        <is>
          <t>office@chattanoogapm.com</t>
        </is>
      </c>
      <c r="J405" s="9" t="inlineStr">
        <is>
          <t>chattanoogapm.com</t>
        </is>
      </c>
      <c r="K405" s="10" t="n"/>
      <c r="L405" s="10" t="n"/>
      <c r="M405" s="10" t="n"/>
      <c r="N405" s="10" t="n"/>
      <c r="O405" s="9" t="inlineStr">
        <is>
          <t>verified chattanoogapm.com live</t>
        </is>
      </c>
    </row>
    <row r="406">
      <c r="A406" s="13" t="inlineStr">
        <is>
          <t>B</t>
        </is>
      </c>
      <c r="B406" s="9" t="inlineStr">
        <is>
          <t>Not phone re-checked</t>
        </is>
      </c>
      <c r="C406" s="9" t="inlineStr">
        <is>
          <t>Chattanooga State Community College - Facilities Safety &amp; Maintenance</t>
        </is>
      </c>
      <c r="D406" s="9" t="inlineStr">
        <is>
          <t>Community College</t>
        </is>
      </c>
      <c r="E406" s="9" t="inlineStr">
        <is>
          <t>(423) 697-4400</t>
        </is>
      </c>
      <c r="F406" s="9" t="inlineStr">
        <is>
          <t>Chattanooga</t>
        </is>
      </c>
      <c r="G406" s="9" t="inlineStr">
        <is>
          <t>4501 Amnicola Hwy</t>
        </is>
      </c>
      <c r="H406" s="9" t="inlineStr">
        <is>
          <t>37406</t>
        </is>
      </c>
      <c r="I406" s="9" t="n"/>
      <c r="J406" s="9" t="inlineStr">
        <is>
          <t>chattanoogastate.edu/facilities-safety-maintenance</t>
        </is>
      </c>
      <c r="K406" s="10" t="n"/>
      <c r="L406" s="10" t="n"/>
      <c r="M406" s="10" t="n"/>
      <c r="N406" s="10" t="n"/>
      <c r="O406" s="9" t="inlineStr">
        <is>
          <t>verified chattanoogastate.edu facilities page live; direct line 423-697-5525</t>
        </is>
      </c>
    </row>
    <row r="407">
      <c r="A407" s="13" t="inlineStr">
        <is>
          <t>B</t>
        </is>
      </c>
      <c r="B407" s="9" t="inlineStr">
        <is>
          <t>Not phone re-checked</t>
        </is>
      </c>
      <c r="C407" s="9" t="inlineStr">
        <is>
          <t>Chattanooga Termite Control</t>
        </is>
      </c>
      <c r="D407" s="9" t="inlineStr">
        <is>
          <t>Pest Control</t>
        </is>
      </c>
      <c r="E407" s="9" t="inlineStr">
        <is>
          <t>(423) 205-2282</t>
        </is>
      </c>
      <c r="F407" s="9" t="inlineStr">
        <is>
          <t>Chattanooga</t>
        </is>
      </c>
      <c r="G407" s="9" t="inlineStr">
        <is>
          <t>1800 E 29th St</t>
        </is>
      </c>
      <c r="H407" s="9" t="inlineStr">
        <is>
          <t>37415</t>
        </is>
      </c>
      <c r="I407" s="9" t="n"/>
      <c r="J407" s="9" t="inlineStr">
        <is>
          <t>chattanoogatermites.com</t>
        </is>
      </c>
      <c r="K407" s="10" t="n"/>
      <c r="L407" s="10" t="n"/>
      <c r="M407" s="10" t="n"/>
      <c r="N407" s="10" t="n"/>
      <c r="O407" s="9" t="inlineStr">
        <is>
          <t>verified chattanoogatermites.com live</t>
        </is>
      </c>
    </row>
    <row r="408">
      <c r="A408" s="13" t="inlineStr">
        <is>
          <t>B</t>
        </is>
      </c>
      <c r="B408" s="9" t="inlineStr">
        <is>
          <t>Not phone re-checked</t>
        </is>
      </c>
      <c r="C408" s="9" t="inlineStr">
        <is>
          <t>Chattanooga Waste (Same Day Dumpster Rental)</t>
        </is>
      </c>
      <c r="D408" s="9" t="inlineStr">
        <is>
          <t>Waste Management / Dumpster Rental</t>
        </is>
      </c>
      <c r="E408" s="9" t="inlineStr">
        <is>
          <t>(423) 651-6169</t>
        </is>
      </c>
      <c r="F408" s="9" t="inlineStr">
        <is>
          <t>Chattanooga</t>
        </is>
      </c>
      <c r="G408" s="9" t="inlineStr">
        <is>
          <t>959 Windtower Dr Ste 13</t>
        </is>
      </c>
      <c r="H408" s="9" t="inlineStr">
        <is>
          <t>37402</t>
        </is>
      </c>
      <c r="I408" s="9" t="inlineStr">
        <is>
          <t>sales@chattanoogadumpsterrental.org</t>
        </is>
      </c>
      <c r="J408" s="9" t="inlineStr">
        <is>
          <t>chattanoogadumpsterrental.org</t>
        </is>
      </c>
      <c r="K408" s="10" t="n"/>
      <c r="L408" s="10" t="n"/>
      <c r="M408" s="10" t="n"/>
      <c r="N408" s="10" t="n"/>
      <c r="O408" s="9" t="inlineStr">
        <is>
          <t>verified chattanoogadumpsterrental.org live</t>
        </is>
      </c>
    </row>
    <row r="409">
      <c r="A409" s="13" t="inlineStr">
        <is>
          <t>B</t>
        </is>
      </c>
      <c r="B409" s="9" t="inlineStr">
        <is>
          <t>Not phone re-checked</t>
        </is>
      </c>
      <c r="C409" s="9" t="inlineStr">
        <is>
          <t>Chazler Inc</t>
        </is>
      </c>
      <c r="D409" s="9" t="inlineStr">
        <is>
          <t>Construction</t>
        </is>
      </c>
      <c r="E409" s="9" t="inlineStr">
        <is>
          <t>(423) 899-3606</t>
        </is>
      </c>
      <c r="F409" s="9" t="inlineStr">
        <is>
          <t>Chattanooga</t>
        </is>
      </c>
      <c r="G409" s="9" t="inlineStr">
        <is>
          <t>104 Cedar Lane</t>
        </is>
      </c>
      <c r="H409" s="9" t="inlineStr">
        <is>
          <t>37421</t>
        </is>
      </c>
      <c r="I409" s="9" t="inlineStr">
        <is>
          <t>eric@chazler.com</t>
        </is>
      </c>
      <c r="J409" s="9" t="inlineStr">
        <is>
          <t>chazler.com</t>
        </is>
      </c>
      <c r="K409" s="10" t="n"/>
      <c r="L409" s="10" t="n"/>
      <c r="M409" s="10" t="n"/>
      <c r="N409" s="10" t="n"/>
      <c r="O409" s="9" t="inlineStr">
        <is>
          <t>Ask for Eric - his is the published inbox. Full contact set.</t>
        </is>
      </c>
    </row>
    <row r="410">
      <c r="A410" s="13" t="inlineStr">
        <is>
          <t>B</t>
        </is>
      </c>
      <c r="B410" s="9" t="inlineStr">
        <is>
          <t>Not phone re-checked</t>
        </is>
      </c>
      <c r="C410" s="9" t="inlineStr">
        <is>
          <t>CHI Memorial Hospital (Chattanooga)</t>
        </is>
      </c>
      <c r="D410" s="9" t="inlineStr">
        <is>
          <t>Hospital System</t>
        </is>
      </c>
      <c r="E410" s="9" t="inlineStr">
        <is>
          <t>(423) 495-2525</t>
        </is>
      </c>
      <c r="F410" s="9" t="inlineStr">
        <is>
          <t>Chattanooga</t>
        </is>
      </c>
      <c r="G410" s="9" t="inlineStr">
        <is>
          <t>2525 De Sales Ave</t>
        </is>
      </c>
      <c r="H410" s="9" t="inlineStr">
        <is>
          <t>37404</t>
        </is>
      </c>
      <c r="I410" s="9" t="n"/>
      <c r="J410" s="9" t="inlineStr">
        <is>
          <t>commonspirit.org</t>
        </is>
      </c>
      <c r="K410" s="10" t="n"/>
      <c r="L410" s="10" t="n"/>
      <c r="M410" s="10" t="n"/>
      <c r="N410" s="10" t="n"/>
      <c r="O410" s="9" t="inlineStr">
        <is>
          <t>verified commonspirit.org location page live</t>
        </is>
      </c>
    </row>
    <row r="411">
      <c r="A411" s="13" t="inlineStr">
        <is>
          <t>B</t>
        </is>
      </c>
      <c r="B411" s="9" t="inlineStr">
        <is>
          <t>Not phone re-checked</t>
        </is>
      </c>
      <c r="C411" s="9" t="inlineStr">
        <is>
          <t>Citadel Logistics, LLC</t>
        </is>
      </c>
      <c r="D411" s="9" t="inlineStr">
        <is>
          <t>Logistics / Truckload / Warehousing</t>
        </is>
      </c>
      <c r="E411" s="9" t="inlineStr">
        <is>
          <t>(423) 668-8860</t>
        </is>
      </c>
      <c r="F411" s="9" t="inlineStr">
        <is>
          <t>Chattanooga</t>
        </is>
      </c>
      <c r="G411" s="9" t="n"/>
      <c r="H411" s="9" t="n"/>
      <c r="I411" s="9" t="n"/>
      <c r="J411" s="9" t="inlineStr">
        <is>
          <t>citadellogistics.com</t>
        </is>
      </c>
      <c r="K411" s="10" t="n"/>
      <c r="L411" s="10" t="n"/>
      <c r="M411" s="10" t="n"/>
      <c r="N411" s="10" t="n"/>
      <c r="O411" s="9" t="inlineStr">
        <is>
          <t>As a Landstar agent they broker to owner-operators rather than owning many trucks, so the fleet may be small. Worth one call to find out.</t>
        </is>
      </c>
    </row>
    <row r="412">
      <c r="A412" s="13" t="inlineStr">
        <is>
          <t>B</t>
        </is>
      </c>
      <c r="B412" s="9" t="inlineStr">
        <is>
          <t>Not phone re-checked</t>
        </is>
      </c>
      <c r="C412" s="9" t="inlineStr">
        <is>
          <t>CNE AFFORDABLE HOUSING LIMITED PARTNERSHIP V</t>
        </is>
      </c>
      <c r="D412" s="9" t="inlineStr">
        <is>
          <t>Affordable Housing / Property Management &amp; Lending</t>
        </is>
      </c>
      <c r="E412" s="9" t="inlineStr">
        <is>
          <t>(423) 756-6201</t>
        </is>
      </c>
      <c r="F412" s="9" t="inlineStr">
        <is>
          <t>Chattanooga</t>
        </is>
      </c>
      <c r="G412" s="9" t="inlineStr">
        <is>
          <t>1500 Chestnut Street, Suite 102</t>
        </is>
      </c>
      <c r="H412" s="9" t="inlineStr">
        <is>
          <t>37408</t>
        </is>
      </c>
      <c r="I412" s="9" t="inlineStr">
        <is>
          <t>info@cneinc.org</t>
        </is>
      </c>
      <c r="J412" s="9" t="inlineStr">
        <is>
          <t>cneinc.org</t>
        </is>
      </c>
      <c r="K412" s="10" t="n"/>
      <c r="L412" s="10" t="n"/>
      <c r="M412" s="10" t="n"/>
      <c r="N412" s="10" t="n"/>
      <c r="O412" s="9" t="inlineStr">
        <is>
          <t>Trades as Chattanooga Neighborhood Enterprise. They own and maintain rental stock, so there are maintenance trucks - the rentals office is the one to call.</t>
        </is>
      </c>
    </row>
    <row r="413">
      <c r="A413" s="13" t="inlineStr">
        <is>
          <t>B</t>
        </is>
      </c>
      <c r="B413" s="9" t="inlineStr">
        <is>
          <t>Not phone re-checked</t>
        </is>
      </c>
      <c r="C413" s="9" t="inlineStr">
        <is>
          <t>Coddington Enterprise</t>
        </is>
      </c>
      <c r="D413" s="9" t="inlineStr">
        <is>
          <t>Irrigation / Sprinkler Systems</t>
        </is>
      </c>
      <c r="E413" s="9" t="inlineStr">
        <is>
          <t>(423) 847-9964</t>
        </is>
      </c>
      <c r="F413" s="9" t="inlineStr">
        <is>
          <t>Chattanooga</t>
        </is>
      </c>
      <c r="G413" s="9" t="inlineStr">
        <is>
          <t>1210 Latta Street</t>
        </is>
      </c>
      <c r="H413" s="9" t="inlineStr">
        <is>
          <t>37406</t>
        </is>
      </c>
      <c r="I413" s="9" t="inlineStr">
        <is>
          <t>info@coddingtonenterprise.com</t>
        </is>
      </c>
      <c r="J413" s="9" t="inlineStr">
        <is>
          <t>coddingtonenterprise.com</t>
        </is>
      </c>
      <c r="K413" s="10" t="n"/>
      <c r="L413" s="10" t="n"/>
      <c r="M413" s="10" t="n"/>
      <c r="N413" s="10" t="n"/>
      <c r="O413" s="9" t="inlineStr">
        <is>
          <t>New lead. Install and service trucks. The 847 prefix is the Hixson exchange.</t>
        </is>
      </c>
    </row>
    <row r="414">
      <c r="A414" s="13" t="inlineStr">
        <is>
          <t>B</t>
        </is>
      </c>
      <c r="B414" s="9" t="inlineStr">
        <is>
          <t>Not phone re-checked</t>
        </is>
      </c>
      <c r="C414" s="9" t="inlineStr">
        <is>
          <t>Commercial Lease &amp; Finance Corp</t>
        </is>
      </c>
      <c r="D414" s="9" t="inlineStr">
        <is>
          <t>Commercial Vehicle &amp; Equipment Leasing</t>
        </is>
      </c>
      <c r="E414" s="9" t="inlineStr">
        <is>
          <t>(800) 596-2777</t>
        </is>
      </c>
      <c r="F414" s="9" t="inlineStr">
        <is>
          <t>Hixson</t>
        </is>
      </c>
      <c r="G414" s="9" t="inlineStr">
        <is>
          <t>7825 Cove Ridge Dr</t>
        </is>
      </c>
      <c r="H414" s="9" t="inlineStr">
        <is>
          <t>37343</t>
        </is>
      </c>
      <c r="I414" s="9" t="n"/>
      <c r="J414" s="9" t="inlineStr">
        <is>
          <t>commerciallf.com</t>
        </is>
      </c>
      <c r="K414" s="10" t="n"/>
      <c r="L414" s="10" t="n"/>
      <c r="M414" s="10" t="n"/>
      <c r="N414" s="10" t="n"/>
      <c r="O414" s="9" t="inlineStr">
        <is>
          <t>NEW LEAD. Business-run page: address, phone and website confirmed. Finances commercial vehicles and equipment, so they know local fleet owners - a referral channel more than a direct account.</t>
        </is>
      </c>
    </row>
    <row r="415">
      <c r="A415" s="13" t="inlineStr">
        <is>
          <t>B</t>
        </is>
      </c>
      <c r="B415" s="9" t="inlineStr">
        <is>
          <t>Not phone re-checked</t>
        </is>
      </c>
      <c r="C415" s="9" t="inlineStr">
        <is>
          <t>Common Ground Tree Service LLC</t>
        </is>
      </c>
      <c r="D415" s="9" t="inlineStr">
        <is>
          <t>Tree Service</t>
        </is>
      </c>
      <c r="E415" s="9" t="inlineStr">
        <is>
          <t>(423) 602-0466</t>
        </is>
      </c>
      <c r="F415" s="9" t="inlineStr">
        <is>
          <t>Chattanooga</t>
        </is>
      </c>
      <c r="G415" s="9" t="inlineStr">
        <is>
          <t>2629 Simpson Ave</t>
        </is>
      </c>
      <c r="H415" s="9" t="inlineStr">
        <is>
          <t>37415</t>
        </is>
      </c>
      <c r="I415" s="9" t="inlineStr">
        <is>
          <t>commongroundtree@gmail.com</t>
        </is>
      </c>
      <c r="J415" s="9" t="inlineStr">
        <is>
          <t>commongroundchattanoogatreeservice.com</t>
        </is>
      </c>
      <c r="K415" s="10" t="n"/>
      <c r="L415" s="10" t="n"/>
      <c r="M415" s="10" t="n"/>
      <c r="N415" s="10" t="n"/>
      <c r="O415" s="9" t="inlineStr">
        <is>
          <t>verified site live; NOTE alt phone 423-621-4045 also listed</t>
        </is>
      </c>
    </row>
    <row r="416">
      <c r="A416" s="13" t="inlineStr">
        <is>
          <t>B</t>
        </is>
      </c>
      <c r="B416" s="9" t="inlineStr">
        <is>
          <t>Not phone re-checked</t>
        </is>
      </c>
      <c r="C416" s="9" t="inlineStr">
        <is>
          <t>Compassionate Health Care, LLC</t>
        </is>
      </c>
      <c r="D416" s="9" t="inlineStr">
        <is>
          <t>Home Health Care</t>
        </is>
      </c>
      <c r="E416" s="9" t="inlineStr">
        <is>
          <t>(423) 875-2538</t>
        </is>
      </c>
      <c r="F416" s="9" t="inlineStr">
        <is>
          <t>Hixson</t>
        </is>
      </c>
      <c r="G416" s="9" t="inlineStr">
        <is>
          <t>1013 Executive Dr Ste 101</t>
        </is>
      </c>
      <c r="H416" s="9" t="inlineStr">
        <is>
          <t>37343</t>
        </is>
      </c>
      <c r="I416" s="9" t="n"/>
      <c r="J416" s="9" t="inlineStr">
        <is>
          <t>compassionatehealthcarellc.com</t>
        </is>
      </c>
      <c r="K416" s="10" t="n"/>
      <c r="L416" s="10" t="n"/>
      <c r="M416" s="10" t="n"/>
      <c r="N416" s="10" t="n"/>
      <c r="O416" s="9" t="inlineStr">
        <is>
          <t>Gap-filled 2026-09-04: website added, phone and address confirmed unchanged. Worth correcting the expectation though - listings describe a medical clinic doing physicals, DOT screens and blood tests rather than the home health care this row's industry field claims, so the visiting-nurse fleet may not exist. Their DOT physicals business is itself interesting: they see local truck drivers.</t>
        </is>
      </c>
    </row>
    <row r="417">
      <c r="A417" s="13" t="inlineStr">
        <is>
          <t>B</t>
        </is>
      </c>
      <c r="B417" s="9" t="inlineStr">
        <is>
          <t>Not phone re-checked</t>
        </is>
      </c>
      <c r="C417" s="9" t="inlineStr">
        <is>
          <t>Complete Backflow Services</t>
        </is>
      </c>
      <c r="D417" s="9" t="inlineStr">
        <is>
          <t>Backflow Testing &amp; Repair</t>
        </is>
      </c>
      <c r="E417" s="9" t="inlineStr">
        <is>
          <t>(423) 593-7919</t>
        </is>
      </c>
      <c r="F417" s="9" t="inlineStr">
        <is>
          <t>Soddy-Daisy</t>
        </is>
      </c>
      <c r="G417" s="9" t="inlineStr">
        <is>
          <t>P.O. Box 663, Hixson</t>
        </is>
      </c>
      <c r="H417" s="9" t="inlineStr">
        <is>
          <t>37379</t>
        </is>
      </c>
      <c r="I417" s="9" t="n"/>
      <c r="J417" s="9" t="inlineStr">
        <is>
          <t>completebackflowservices.com</t>
        </is>
      </c>
      <c r="K417" s="10" t="n"/>
      <c r="L417" s="10" t="n"/>
      <c r="M417" s="10" t="n"/>
      <c r="N417" s="10" t="n"/>
      <c r="O417" s="9" t="inlineStr">
        <is>
          <t>Backflow testers drive between commercial premises all day doing annual certifications - small fleet, high mileage. Both owners publish mobile numbers, so there is no gatekeeper: Mike Brown or Scott Edgemon answer directly. Their own site gives only the PO Box, so the record's 1779 Ritz Way is not confirmed.</t>
        </is>
      </c>
    </row>
    <row r="418">
      <c r="A418" s="13" t="inlineStr">
        <is>
          <t>B</t>
        </is>
      </c>
      <c r="B418" s="9" t="inlineStr">
        <is>
          <t>Not phone re-checked</t>
        </is>
      </c>
      <c r="C418" s="9" t="inlineStr">
        <is>
          <t>Conditionaire Company Inc.</t>
        </is>
      </c>
      <c r="D418" s="9" t="inlineStr">
        <is>
          <t>HVAC</t>
        </is>
      </c>
      <c r="E418" s="9" t="inlineStr">
        <is>
          <t>(423) 894-0612</t>
        </is>
      </c>
      <c r="F418" s="9" t="inlineStr">
        <is>
          <t>Chattanooga</t>
        </is>
      </c>
      <c r="G418" s="9" t="inlineStr">
        <is>
          <t>2836 Hickory Valley Rd</t>
        </is>
      </c>
      <c r="H418" s="9" t="inlineStr">
        <is>
          <t>37421</t>
        </is>
      </c>
      <c r="I418" s="9" t="n"/>
      <c r="J418" s="9" t="inlineStr">
        <is>
          <t>conditionaire.com</t>
        </is>
      </c>
      <c r="K418" s="10" t="n"/>
      <c r="L418" s="10" t="n"/>
      <c r="M418" s="10" t="n"/>
      <c r="N418" s="10" t="n"/>
      <c r="O418" s="9" t="inlineStr">
        <is>
          <t>verified conditionaire.com live</t>
        </is>
      </c>
    </row>
    <row r="419">
      <c r="A419" s="13" t="inlineStr">
        <is>
          <t>B</t>
        </is>
      </c>
      <c r="B419" s="9" t="inlineStr">
        <is>
          <t>Not phone re-checked</t>
        </is>
      </c>
      <c r="C419" s="9" t="inlineStr">
        <is>
          <t>CORE Safety Group</t>
        </is>
      </c>
      <c r="D419" s="9" t="inlineStr">
        <is>
          <t>Construction Safety Consulting &amp; Staffing</t>
        </is>
      </c>
      <c r="E419" s="9" t="inlineStr">
        <is>
          <t>(888) 250-1830</t>
        </is>
      </c>
      <c r="F419" s="9" t="inlineStr">
        <is>
          <t>Chattanooga</t>
        </is>
      </c>
      <c r="G419" s="9" t="inlineStr">
        <is>
          <t>6148 Lee Highway, Suite 110</t>
        </is>
      </c>
      <c r="H419" s="9" t="inlineStr">
        <is>
          <t>37421</t>
        </is>
      </c>
      <c r="I419" s="9" t="inlineStr">
        <is>
          <t>info@coresafety.com</t>
        </is>
      </c>
      <c r="J419" s="9" t="inlineStr">
        <is>
          <t>coresafety.com</t>
        </is>
      </c>
      <c r="K419" s="10" t="n"/>
      <c r="L419" s="10" t="n"/>
      <c r="M419" s="10" t="n"/>
      <c r="N419" s="10" t="n"/>
      <c r="O419" s="9" t="inlineStr">
        <is>
          <t>Their people drive to job sites constantly. Only a toll-free number published - ask for the Chattanooga office.</t>
        </is>
      </c>
    </row>
    <row r="420">
      <c r="A420" s="13" t="inlineStr">
        <is>
          <t>B</t>
        </is>
      </c>
      <c r="B420" s="9" t="inlineStr">
        <is>
          <t>Not phone re-checked</t>
        </is>
      </c>
      <c r="C420" s="9" t="inlineStr">
        <is>
          <t>CORNERSTONE FREIGHT, L.L.C.</t>
        </is>
      </c>
      <c r="D420" s="9" t="inlineStr">
        <is>
          <t>Freight / Logistics</t>
        </is>
      </c>
      <c r="E420" s="9" t="inlineStr">
        <is>
          <t>(423) 553-1105</t>
        </is>
      </c>
      <c r="F420" s="9" t="inlineStr">
        <is>
          <t>Chattanooga</t>
        </is>
      </c>
      <c r="G420" s="9" t="inlineStr">
        <is>
          <t>118 Lee Parkway</t>
        </is>
      </c>
      <c r="H420" s="9" t="n"/>
      <c r="I420" s="9" t="n"/>
      <c r="J420" s="9" t="inlineStr">
        <is>
          <t>cornerstonefreight.com</t>
        </is>
      </c>
      <c r="K420" s="10" t="n"/>
      <c r="L420" s="10" t="n"/>
      <c r="M420" s="10" t="n"/>
      <c r="N420" s="10" t="n"/>
      <c r="O420" s="9" t="inlineStr">
        <is>
          <t>Gap-filled 2026-09-04: phone and address added. Some listings show 103 Jordan Dr Ste 10 instead; the FMCSA-registered address is Lee Parkway, so that is recorded. Registered as a freight broker as well as a carrier, so confirm whether they run their own tractors.</t>
        </is>
      </c>
    </row>
    <row r="421">
      <c r="A421" s="13" t="inlineStr">
        <is>
          <t>B</t>
        </is>
      </c>
      <c r="B421" s="9" t="inlineStr">
        <is>
          <t>Not phone re-checked</t>
        </is>
      </c>
      <c r="C421" s="9" t="inlineStr">
        <is>
          <t>Corporate Medical Services, Powered by WorkforceQA</t>
        </is>
      </c>
      <c r="D421" s="9" t="inlineStr">
        <is>
          <t>Occupational Health / DOT Physicals &amp; Drug Screening</t>
        </is>
      </c>
      <c r="E421" s="9" t="inlineStr">
        <is>
          <t>(423) 870-0701</t>
        </is>
      </c>
      <c r="F421" s="9" t="inlineStr">
        <is>
          <t>Chattanooga</t>
        </is>
      </c>
      <c r="G421" s="9" t="n"/>
      <c r="H421" s="9" t="n"/>
      <c r="I421" s="9" t="n"/>
      <c r="J421" s="9" t="inlineStr">
        <is>
          <t>corporatemedicalservices.com</t>
        </is>
      </c>
      <c r="K421" s="10" t="n"/>
      <c r="L421" s="10" t="n"/>
      <c r="M421" s="10" t="n"/>
      <c r="N421" s="10" t="n"/>
      <c r="O421" s="9" t="inlineStr">
        <is>
          <t>Worth a call for a different reason: their entire client base is DOT-regulated trucking fleets. They know every carrier in the region.</t>
        </is>
      </c>
    </row>
    <row r="422">
      <c r="A422" s="13" t="inlineStr">
        <is>
          <t>B</t>
        </is>
      </c>
      <c r="B422" s="9" t="inlineStr">
        <is>
          <t>Not phone re-checked</t>
        </is>
      </c>
      <c r="C422" s="9" t="inlineStr">
        <is>
          <t>CourtTech USA</t>
        </is>
      </c>
      <c r="D422" s="9" t="inlineStr">
        <is>
          <t>Squash &amp; Tennis Court Construction</t>
        </is>
      </c>
      <c r="E422" s="9" t="inlineStr">
        <is>
          <t>(423) 541-8783</t>
        </is>
      </c>
      <c r="F422" s="9" t="inlineStr">
        <is>
          <t>Chattanooga</t>
        </is>
      </c>
      <c r="G422" s="9" t="inlineStr">
        <is>
          <t>3861 Hixson Pike</t>
        </is>
      </c>
      <c r="H422" s="9" t="n"/>
      <c r="I422" s="9" t="inlineStr">
        <is>
          <t>info@courttechusa.com</t>
        </is>
      </c>
      <c r="J422" s="9" t="inlineStr">
        <is>
          <t>courttechusa.com</t>
        </is>
      </c>
      <c r="K422" s="10" t="n"/>
      <c r="L422" s="10" t="n"/>
      <c r="M422" s="10" t="n"/>
      <c r="N422" s="10" t="n"/>
      <c r="O422" s="9" t="inlineStr">
        <is>
          <t>Gap-filled 2026-09-04: phone, email, address and website all added. Court construction means surfacing rigs and material trucks travelling to clubs and schools, often out of state.</t>
        </is>
      </c>
    </row>
    <row r="423">
      <c r="A423" s="13" t="inlineStr">
        <is>
          <t>B</t>
        </is>
      </c>
      <c r="B423" s="9" t="inlineStr">
        <is>
          <t>Not phone re-checked</t>
        </is>
      </c>
      <c r="C423" s="9" t="inlineStr">
        <is>
          <t>Cox Concrete &amp; Excavation</t>
        </is>
      </c>
      <c r="D423" s="9" t="inlineStr">
        <is>
          <t>Concrete / Excavation</t>
        </is>
      </c>
      <c r="E423" s="9" t="inlineStr">
        <is>
          <t>(423) 210-4127</t>
        </is>
      </c>
      <c r="F423" s="9" t="inlineStr">
        <is>
          <t>Chattanooga</t>
        </is>
      </c>
      <c r="G423" s="9" t="inlineStr">
        <is>
          <t>2401 Bachman St</t>
        </is>
      </c>
      <c r="H423" s="9" t="inlineStr">
        <is>
          <t>37406</t>
        </is>
      </c>
      <c r="I423" s="9" t="n"/>
      <c r="J423" s="9" t="inlineStr">
        <is>
          <t>coxconcrete.us</t>
        </is>
      </c>
      <c r="K423" s="10" t="n"/>
      <c r="L423" s="10" t="n"/>
      <c r="M423" s="10" t="n"/>
      <c r="N423" s="10" t="n"/>
      <c r="O423" s="9" t="inlineStr">
        <is>
          <t>verified coxconcrete.us live</t>
        </is>
      </c>
    </row>
    <row r="424">
      <c r="A424" s="13" t="inlineStr">
        <is>
          <t>B</t>
        </is>
      </c>
      <c r="B424" s="9" t="inlineStr">
        <is>
          <t>Not phone re-checked</t>
        </is>
      </c>
      <c r="C424" s="9" t="inlineStr">
        <is>
          <t>CREEKSIDE CLOSETS LLC</t>
        </is>
      </c>
      <c r="D424" s="9" t="inlineStr">
        <is>
          <t>Custom Closets / Storage Installation</t>
        </is>
      </c>
      <c r="E424" s="9" t="inlineStr">
        <is>
          <t>(423) 698-3344</t>
        </is>
      </c>
      <c r="F424" s="9" t="inlineStr">
        <is>
          <t>Hixson</t>
        </is>
      </c>
      <c r="G424" s="9" t="inlineStr">
        <is>
          <t>2415 Apex Ln</t>
        </is>
      </c>
      <c r="H424" s="9" t="inlineStr">
        <is>
          <t>37343</t>
        </is>
      </c>
      <c r="I424" s="9" t="inlineStr">
        <is>
          <t>info@creeksideclosets.com</t>
        </is>
      </c>
      <c r="J424" s="9" t="inlineStr">
        <is>
          <t>creeksideclosets.com</t>
        </is>
      </c>
      <c r="K424" s="10" t="n"/>
      <c r="L424" s="10" t="n"/>
      <c r="M424" s="10" t="n"/>
      <c r="N424" s="10" t="n"/>
      <c r="O424" s="9" t="inlineStr">
        <is>
          <t>Install crews run vans loaded with millwork.</t>
        </is>
      </c>
    </row>
    <row r="425">
      <c r="A425" s="13" t="inlineStr">
        <is>
          <t>B</t>
        </is>
      </c>
      <c r="B425" s="9" t="inlineStr">
        <is>
          <t>Not phone re-checked</t>
        </is>
      </c>
      <c r="C425" s="9" t="inlineStr">
        <is>
          <t>Crosstown Courier</t>
        </is>
      </c>
      <c r="D425" s="9" t="inlineStr">
        <is>
          <t>Courier / Delivery / Last-Mile</t>
        </is>
      </c>
      <c r="E425" s="9" t="inlineStr">
        <is>
          <t>(423) 648-7878</t>
        </is>
      </c>
      <c r="F425" s="9" t="inlineStr">
        <is>
          <t>Chattanooga</t>
        </is>
      </c>
      <c r="G425" s="9" t="inlineStr">
        <is>
          <t>2222 Polymer Dr</t>
        </is>
      </c>
      <c r="H425" s="9" t="inlineStr">
        <is>
          <t>37416</t>
        </is>
      </c>
      <c r="I425" s="9" t="inlineStr">
        <is>
          <t>sales@gocrosstown.com</t>
        </is>
      </c>
      <c r="J425" s="9" t="inlineStr">
        <is>
          <t>gocrosstown.com</t>
        </is>
      </c>
      <c r="K425" s="10" t="n"/>
      <c r="L425" s="10" t="n"/>
      <c r="M425" s="10" t="n"/>
      <c r="N425" s="10" t="n"/>
      <c r="O425" s="9" t="inlineStr">
        <is>
          <t>verified gocrosstown.com live</t>
        </is>
      </c>
    </row>
    <row r="426">
      <c r="A426" s="13" t="inlineStr">
        <is>
          <t>B</t>
        </is>
      </c>
      <c r="B426" s="9" t="inlineStr">
        <is>
          <t>Not phone re-checked</t>
        </is>
      </c>
      <c r="C426" s="9" t="inlineStr">
        <is>
          <t>Curbed Construction</t>
        </is>
      </c>
      <c r="D426" s="9" t="inlineStr">
        <is>
          <t>General Contractor / Construction Management</t>
        </is>
      </c>
      <c r="E426" s="9" t="inlineStr">
        <is>
          <t>(423) 488-6920</t>
        </is>
      </c>
      <c r="F426" s="9" t="inlineStr">
        <is>
          <t>Chattanooga</t>
        </is>
      </c>
      <c r="G426" s="9" t="inlineStr">
        <is>
          <t>623 E Main Street, Suite 101</t>
        </is>
      </c>
      <c r="H426" s="9" t="inlineStr">
        <is>
          <t>37408</t>
        </is>
      </c>
      <c r="I426" s="9" t="inlineStr">
        <is>
          <t>info@curbedconstruction.com</t>
        </is>
      </c>
      <c r="J426" s="9" t="inlineStr">
        <is>
          <t>curbedconstruction.com</t>
        </is>
      </c>
      <c r="K426" s="10" t="n"/>
      <c r="L426" s="10" t="n"/>
      <c r="M426" s="10" t="n"/>
      <c r="N426" s="10" t="n"/>
      <c r="O426" s="9" t="inlineStr">
        <is>
          <t>Named team members published. Full contact set.</t>
        </is>
      </c>
    </row>
    <row r="427">
      <c r="A427" s="13" t="inlineStr">
        <is>
          <t>B</t>
        </is>
      </c>
      <c r="B427" s="9" t="inlineStr">
        <is>
          <t>Not phone re-checked</t>
        </is>
      </c>
      <c r="C427" s="9" t="inlineStr">
        <is>
          <t>Daisy Feed &amp; Seed Company</t>
        </is>
      </c>
      <c r="D427" s="9" t="inlineStr">
        <is>
          <t>Agricultural Supply / Garden Center</t>
        </is>
      </c>
      <c r="E427" s="9" t="inlineStr">
        <is>
          <t>(423) 332-2481</t>
        </is>
      </c>
      <c r="F427" s="9" t="inlineStr">
        <is>
          <t>Soddy-Daisy</t>
        </is>
      </c>
      <c r="G427" s="9" t="inlineStr">
        <is>
          <t>9554 Dayton Pike</t>
        </is>
      </c>
      <c r="H427" s="9" t="inlineStr">
        <is>
          <t>37379</t>
        </is>
      </c>
      <c r="I427" s="9" t="n"/>
      <c r="J427" s="9" t="n"/>
      <c r="K427" s="10" t="n"/>
      <c r="L427" s="10" t="n"/>
      <c r="M427" s="10" t="n"/>
      <c r="N427" s="10" t="n"/>
      <c r="O427" s="9" t="inlineStr">
        <is>
          <t>Gap-filled 2026-09-04: no official website - the 'site' listings point at is a hub.biz directory page, which is not one. Phone and address confirmed unchanged. Feed stores run delivery trucks to farms.</t>
        </is>
      </c>
    </row>
    <row r="428">
      <c r="A428" s="13" t="inlineStr">
        <is>
          <t>B</t>
        </is>
      </c>
      <c r="B428" s="9" t="inlineStr">
        <is>
          <t>Not phone re-checked</t>
        </is>
      </c>
      <c r="C428" s="9" t="inlineStr">
        <is>
          <t>Dakota Concepts Inc</t>
        </is>
      </c>
      <c r="D428" s="9" t="inlineStr">
        <is>
          <t>Cabinet Manufacturing / Millwork</t>
        </is>
      </c>
      <c r="E428" s="9" t="inlineStr">
        <is>
          <t>(423) 842-9198</t>
        </is>
      </c>
      <c r="F428" s="9" t="inlineStr">
        <is>
          <t>Hixson</t>
        </is>
      </c>
      <c r="G428" s="9" t="inlineStr">
        <is>
          <t>7930 Middle Valley Road</t>
        </is>
      </c>
      <c r="H428" s="9" t="inlineStr">
        <is>
          <t>37343</t>
        </is>
      </c>
      <c r="I428" s="9" t="n"/>
      <c r="J428" s="9" t="inlineStr">
        <is>
          <t>dakotaconceptsinc.com</t>
        </is>
      </c>
      <c r="K428" s="10" t="n"/>
      <c r="L428" s="10" t="n"/>
      <c r="M428" s="10" t="n"/>
      <c r="N428" s="10" t="n"/>
      <c r="O428" s="9" t="inlineStr">
        <is>
          <t>Gap-filled 2026-09-04: phone added, address confirmed unchanged. Custom cabinetry and built-ins from a nine-acre site means delivery and install trucks, not just a workshop.</t>
        </is>
      </c>
    </row>
    <row r="429">
      <c r="A429" s="13" t="inlineStr">
        <is>
          <t>B</t>
        </is>
      </c>
      <c r="B429" s="9" t="inlineStr">
        <is>
          <t>Not phone re-checked</t>
        </is>
      </c>
      <c r="C429" s="9" t="inlineStr">
        <is>
          <t>David Mathews Surveying and Mapping</t>
        </is>
      </c>
      <c r="D429" s="9" t="inlineStr">
        <is>
          <t>Land Surveying</t>
        </is>
      </c>
      <c r="E429" s="9" t="inlineStr">
        <is>
          <t>(423) 870-4208</t>
        </is>
      </c>
      <c r="F429" s="9" t="inlineStr">
        <is>
          <t>Hixson</t>
        </is>
      </c>
      <c r="G429" s="9" t="inlineStr">
        <is>
          <t>1820 Hamill Rd</t>
        </is>
      </c>
      <c r="H429" s="9" t="inlineStr">
        <is>
          <t>37343</t>
        </is>
      </c>
      <c r="I429" s="9" t="n"/>
      <c r="J429" s="9" t="inlineStr">
        <is>
          <t>dmsmapping.com</t>
        </is>
      </c>
      <c r="K429" s="10" t="n"/>
      <c r="L429" s="10" t="n"/>
      <c r="M429" s="10" t="n"/>
      <c r="N429" s="10" t="n"/>
      <c r="O429" s="9" t="inlineStr">
        <is>
          <t>verified active; website dmsmapping.com NOT confirmed in search - listings show no site</t>
        </is>
      </c>
    </row>
    <row r="430">
      <c r="A430" s="13" t="inlineStr">
        <is>
          <t>B</t>
        </is>
      </c>
      <c r="B430" s="9" t="inlineStr">
        <is>
          <t>Not phone re-checked</t>
        </is>
      </c>
      <c r="C430" s="9" t="inlineStr">
        <is>
          <t>Dawson Lawn Service</t>
        </is>
      </c>
      <c r="D430" s="9" t="inlineStr">
        <is>
          <t>Lawn &amp; Landscape / Christmas Decorating</t>
        </is>
      </c>
      <c r="E430" s="9" t="inlineStr">
        <is>
          <t>(423) 899-0939</t>
        </is>
      </c>
      <c r="F430" s="9" t="inlineStr">
        <is>
          <t>Chattanooga</t>
        </is>
      </c>
      <c r="G430" s="9" t="inlineStr">
        <is>
          <t>6003 Pinehurst Avenue</t>
        </is>
      </c>
      <c r="H430" s="9" t="inlineStr">
        <is>
          <t>37421</t>
        </is>
      </c>
      <c r="I430" s="9" t="n"/>
      <c r="J430" s="9" t="inlineStr">
        <is>
          <t>dawsonlawnservice.net</t>
        </is>
      </c>
      <c r="K430" s="10" t="n"/>
      <c r="L430" s="10" t="n"/>
      <c r="M430" s="10" t="n"/>
      <c r="N430" s="10" t="n"/>
      <c r="O430" s="9" t="inlineStr">
        <is>
          <t>Gap-filled 2026-09-04: phone, address and website added. Lawn and landscape crews towing mower trailers, plus seasonal Christmas decorating work that puts them on ladders and roofs in winter.</t>
        </is>
      </c>
    </row>
    <row r="431">
      <c r="A431" s="13" t="inlineStr">
        <is>
          <t>B</t>
        </is>
      </c>
      <c r="B431" s="9" t="inlineStr">
        <is>
          <t>Not phone re-checked</t>
        </is>
      </c>
      <c r="C431" s="9" t="inlineStr">
        <is>
          <t>DB Waterproofing LLC</t>
        </is>
      </c>
      <c r="D431" s="9" t="inlineStr">
        <is>
          <t>Basement &amp; Crawl Space Waterproofing</t>
        </is>
      </c>
      <c r="E431" s="9" t="inlineStr">
        <is>
          <t>(423) 508-4291</t>
        </is>
      </c>
      <c r="F431" s="9" t="inlineStr">
        <is>
          <t>Chattanooga</t>
        </is>
      </c>
      <c r="G431" s="9" t="inlineStr">
        <is>
          <t>PO Box 8004</t>
        </is>
      </c>
      <c r="H431" s="9" t="inlineStr">
        <is>
          <t>37414</t>
        </is>
      </c>
      <c r="I431" s="9" t="inlineStr">
        <is>
          <t>donniepeppers@dbwaterproofing.com</t>
        </is>
      </c>
      <c r="J431" s="9" t="inlineStr">
        <is>
          <t>dbwaterproofing.com</t>
        </is>
      </c>
      <c r="K431" s="10" t="n"/>
      <c r="L431" s="10" t="n"/>
      <c r="M431" s="10" t="n"/>
      <c r="N431" s="10" t="n"/>
      <c r="O431" s="9" t="inlineStr">
        <is>
          <t>Ask for Donnie Peppers by name. Only a PO Box published.</t>
        </is>
      </c>
    </row>
    <row r="432">
      <c r="A432" s="13" t="inlineStr">
        <is>
          <t>B</t>
        </is>
      </c>
      <c r="B432" s="9" t="inlineStr">
        <is>
          <t>Not phone re-checked</t>
        </is>
      </c>
      <c r="C432" s="9" t="inlineStr">
        <is>
          <t>DeFoor Brothers LLC</t>
        </is>
      </c>
      <c r="D432" s="9" t="inlineStr">
        <is>
          <t>Construction / Development</t>
        </is>
      </c>
      <c r="E432" s="9" t="inlineStr">
        <is>
          <t>(423) 308-1830</t>
        </is>
      </c>
      <c r="F432" s="9" t="inlineStr">
        <is>
          <t>Chattanooga</t>
        </is>
      </c>
      <c r="G432" s="9" t="inlineStr">
        <is>
          <t>801 Broad Street, Suite 200</t>
        </is>
      </c>
      <c r="H432" s="9" t="inlineStr">
        <is>
          <t>37402</t>
        </is>
      </c>
      <c r="I432" s="9" t="n"/>
      <c r="J432" s="9" t="inlineStr">
        <is>
          <t>defoorbrothers.com</t>
        </is>
      </c>
      <c r="K432" s="10" t="n"/>
      <c r="L432" s="10" t="n"/>
      <c r="M432" s="10" t="n"/>
      <c r="N432" s="10" t="n"/>
      <c r="O432" s="9" t="inlineStr">
        <is>
          <t>Small downtown office site. No email published.</t>
        </is>
      </c>
    </row>
    <row r="433">
      <c r="A433" s="13" t="inlineStr">
        <is>
          <t>B</t>
        </is>
      </c>
      <c r="B433" s="9" t="inlineStr">
        <is>
          <t>Not phone re-checked</t>
        </is>
      </c>
      <c r="C433" s="9" t="inlineStr">
        <is>
          <t>Dempsey and Sons Well Drilling</t>
        </is>
      </c>
      <c r="D433" s="9" t="inlineStr">
        <is>
          <t>Well Drilling</t>
        </is>
      </c>
      <c r="E433" s="9" t="inlineStr">
        <is>
          <t>(423) 894-5635</t>
        </is>
      </c>
      <c r="F433" s="9" t="inlineStr">
        <is>
          <t>Chattanooga</t>
        </is>
      </c>
      <c r="G433" s="9" t="inlineStr">
        <is>
          <t>6228 Bonny Oaks Dr</t>
        </is>
      </c>
      <c r="H433" s="9" t="inlineStr">
        <is>
          <t>37416</t>
        </is>
      </c>
      <c r="I433" s="9" t="n"/>
      <c r="J433" s="9" t="n"/>
      <c r="K433" s="10" t="n"/>
      <c r="L433" s="10" t="n"/>
      <c r="M433" s="10" t="n"/>
      <c r="N433" s="10" t="n"/>
      <c r="O433" s="9" t="inlineStr">
        <is>
          <t>Gap-filled 2026-09-04: no official website, and TWO WARNINGS. One listing marks them CLOSED, so confirm they are trading before spending time on them. And 6228 Bonny Oaks Drive is Tri-State Drilling's address as well - either they share a yard or one listing has the wrong address. Worth untangling, since a well driller runs rigs worth having.</t>
        </is>
      </c>
    </row>
    <row r="434">
      <c r="A434" s="13" t="inlineStr">
        <is>
          <t>B</t>
        </is>
      </c>
      <c r="B434" s="9" t="inlineStr">
        <is>
          <t>Not phone re-checked</t>
        </is>
      </c>
      <c r="C434" s="9" t="inlineStr">
        <is>
          <t>Discount Tire (Hixson)</t>
        </is>
      </c>
      <c r="D434" s="9" t="inlineStr">
        <is>
          <t>Tire &amp; Auto Service</t>
        </is>
      </c>
      <c r="E434" s="9" t="inlineStr">
        <is>
          <t>(423) 242-2011</t>
        </is>
      </c>
      <c r="F434" s="9" t="inlineStr">
        <is>
          <t>Hixson</t>
        </is>
      </c>
      <c r="G434" s="9" t="inlineStr">
        <is>
          <t>5612 Highway 153</t>
        </is>
      </c>
      <c r="H434" s="9" t="inlineStr">
        <is>
          <t>37343</t>
        </is>
      </c>
      <c r="I434" s="9" t="n"/>
      <c r="J434" s="9" t="inlineStr">
        <is>
          <t>discounttire.com</t>
        </is>
      </c>
      <c r="K434" s="10" t="n"/>
      <c r="L434" s="10" t="n"/>
      <c r="M434" s="10" t="n"/>
      <c r="N434" s="10" t="n"/>
      <c r="O434" s="9" t="inlineStr">
        <is>
          <t>NEW LEAD. Store page: address and phone confirmed.</t>
        </is>
      </c>
    </row>
    <row r="435">
      <c r="A435" s="13" t="inlineStr">
        <is>
          <t>B</t>
        </is>
      </c>
      <c r="B435" s="9" t="inlineStr">
        <is>
          <t>Not phone re-checked</t>
        </is>
      </c>
      <c r="C435" s="9" t="inlineStr">
        <is>
          <t>Doyle Electric LLC</t>
        </is>
      </c>
      <c r="D435" s="9" t="inlineStr">
        <is>
          <t>Electrical Contractor</t>
        </is>
      </c>
      <c r="E435" s="9" t="inlineStr">
        <is>
          <t>(423) 580-5617</t>
        </is>
      </c>
      <c r="F435" s="9" t="inlineStr">
        <is>
          <t>Hixson</t>
        </is>
      </c>
      <c r="G435" s="9" t="n"/>
      <c r="H435" s="9" t="inlineStr">
        <is>
          <t>37343</t>
        </is>
      </c>
      <c r="I435" s="9" t="inlineStr">
        <is>
          <t>doyleelectric2020@gmail.com</t>
        </is>
      </c>
      <c r="J435" s="9" t="inlineStr">
        <is>
          <t>doyle-electric-llc.com</t>
        </is>
      </c>
      <c r="K435" s="10" t="n"/>
      <c r="L435" s="10" t="n"/>
      <c r="M435" s="10" t="n"/>
      <c r="N435" s="10" t="n"/>
      <c r="O435" s="9" t="inlineStr">
        <is>
          <t>Gap-filled 2026-09-04: website added, phone confirmed unchanged. Ask for Brady Doyle. They also answer on a second domain, doyleelectricllc.co.</t>
        </is>
      </c>
    </row>
    <row r="436">
      <c r="A436" s="13" t="inlineStr">
        <is>
          <t>B</t>
        </is>
      </c>
      <c r="B436" s="9" t="inlineStr">
        <is>
          <t>Not phone re-checked</t>
        </is>
      </c>
      <c r="C436" s="9" t="inlineStr">
        <is>
          <t>DUCTZ Indoor Air Professionals of Chattanooga</t>
        </is>
      </c>
      <c r="D436" s="9" t="inlineStr">
        <is>
          <t>Air Duct Cleaning / HVAC Service</t>
        </is>
      </c>
      <c r="E436" s="9" t="inlineStr">
        <is>
          <t>(423) 842-6577</t>
        </is>
      </c>
      <c r="F436" s="9" t="inlineStr">
        <is>
          <t>Hixson</t>
        </is>
      </c>
      <c r="G436" s="9" t="inlineStr">
        <is>
          <t>6921 Middle Valley Road</t>
        </is>
      </c>
      <c r="H436" s="9" t="inlineStr">
        <is>
          <t>37343</t>
        </is>
      </c>
      <c r="I436" s="9" t="n"/>
      <c r="J436" s="9" t="inlineStr">
        <is>
          <t>airductcleaningtn.com</t>
        </is>
      </c>
      <c r="K436" s="10" t="n"/>
      <c r="L436" s="10" t="n"/>
      <c r="M436" s="10" t="n"/>
      <c r="N436" s="10" t="n"/>
      <c r="O436" s="9" t="inlineStr">
        <is>
          <t>New lead from the Vibe export, phone confirmed on their own site. Address is from the Vibe dataset - confirm on the call. Duct crews run equipment vans.</t>
        </is>
      </c>
    </row>
    <row r="437">
      <c r="A437" s="13" t="inlineStr">
        <is>
          <t>B</t>
        </is>
      </c>
      <c r="B437" s="9" t="inlineStr">
        <is>
          <t>Not phone re-checked</t>
        </is>
      </c>
      <c r="C437" s="9" t="inlineStr">
        <is>
          <t>DWELL DESIGNED CONSTRUCTION, LLC</t>
        </is>
      </c>
      <c r="D437" s="9" t="inlineStr">
        <is>
          <t>New Construction / Remodeling / Design</t>
        </is>
      </c>
      <c r="E437" s="9" t="inlineStr">
        <is>
          <t>(423) 207-4510</t>
        </is>
      </c>
      <c r="F437" s="9" t="inlineStr">
        <is>
          <t>Chattanooga</t>
        </is>
      </c>
      <c r="G437" s="9" t="inlineStr">
        <is>
          <t>1900 East Main Street</t>
        </is>
      </c>
      <c r="H437" s="9" t="n"/>
      <c r="I437" s="9" t="n"/>
      <c r="J437" s="9" t="inlineStr">
        <is>
          <t>dwelldesignedconstruction.com</t>
        </is>
      </c>
      <c r="K437" s="10" t="n"/>
      <c r="L437" s="10" t="n"/>
      <c r="M437" s="10" t="n"/>
      <c r="N437" s="10" t="n"/>
      <c r="O437" s="9" t="inlineStr">
        <is>
          <t>Gap-filled 2026-09-04: phone, address and website added. Their site publishes an email but it is obfuscated against scraping, so it needs reading off the page by hand.</t>
        </is>
      </c>
    </row>
    <row r="438">
      <c r="A438" s="13" t="inlineStr">
        <is>
          <t>B</t>
        </is>
      </c>
      <c r="B438" s="9" t="inlineStr">
        <is>
          <t>Not phone re-checked</t>
        </is>
      </c>
      <c r="C438" s="9" t="inlineStr">
        <is>
          <t>East Ridge Auto Electric Company</t>
        </is>
      </c>
      <c r="D438" s="9" t="inlineStr">
        <is>
          <t>Auto Repair</t>
        </is>
      </c>
      <c r="E438" s="9" t="inlineStr">
        <is>
          <t>(423) 629-7951</t>
        </is>
      </c>
      <c r="F438" s="9" t="inlineStr">
        <is>
          <t>East Ridge</t>
        </is>
      </c>
      <c r="G438" s="9" t="inlineStr">
        <is>
          <t>4003 Ringgold Rd</t>
        </is>
      </c>
      <c r="H438" s="9" t="inlineStr">
        <is>
          <t>37412</t>
        </is>
      </c>
      <c r="I438" s="9" t="n"/>
      <c r="J438" s="9" t="n"/>
      <c r="K438" s="10" t="n"/>
      <c r="L438" s="10" t="n"/>
      <c r="M438" s="10" t="n"/>
      <c r="N438" s="10" t="n"/>
      <c r="O438" s="9" t="inlineStr">
        <is>
          <t>Gap-filled 2026-09-04: no official website exists. Phone and address already in the row confirmed unchanged. Note this is the same Ringgold Road address as Broome's Wrecker Service, so the two are likely neighbours or related - handy if you are calling one.</t>
        </is>
      </c>
    </row>
    <row r="439">
      <c r="A439" s="13" t="inlineStr">
        <is>
          <t>B</t>
        </is>
      </c>
      <c r="B439" s="9" t="inlineStr">
        <is>
          <t>Not phone re-checked</t>
        </is>
      </c>
      <c r="C439" s="9" t="inlineStr">
        <is>
          <t>East Ridge Fast Lube</t>
        </is>
      </c>
      <c r="D439" s="9" t="inlineStr">
        <is>
          <t>Auto Service</t>
        </is>
      </c>
      <c r="E439" s="9" t="inlineStr">
        <is>
          <t>(423) 629-1400</t>
        </is>
      </c>
      <c r="F439" s="9" t="inlineStr">
        <is>
          <t>East Ridge</t>
        </is>
      </c>
      <c r="G439" s="9" t="inlineStr">
        <is>
          <t>3208 Ringgold Rd</t>
        </is>
      </c>
      <c r="H439" s="9" t="inlineStr">
        <is>
          <t>37412</t>
        </is>
      </c>
      <c r="I439" s="9" t="inlineStr">
        <is>
          <t>eastridgefastlube@yahoo.com</t>
        </is>
      </c>
      <c r="J439" s="9" t="inlineStr">
        <is>
          <t>chattfastlube.com</t>
        </is>
      </c>
      <c r="K439" s="10" t="n"/>
      <c r="L439" s="10" t="n"/>
      <c r="M439" s="10" t="n"/>
      <c r="N439" s="10" t="n"/>
      <c r="O439" s="9" t="inlineStr">
        <is>
          <t>Business-run page: found email and website chattfastlube.com - the sheet had neither. Same operator runs Broad Street Fast Lube at 3225 Broad St, 423-752-0059; the East Ridge address and phone in the sheet were not shown on the page.</t>
        </is>
      </c>
    </row>
    <row r="440">
      <c r="A440" s="13" t="inlineStr">
        <is>
          <t>B</t>
        </is>
      </c>
      <c r="B440" s="9" t="inlineStr">
        <is>
          <t>Not phone re-checked</t>
        </is>
      </c>
      <c r="C440" s="9" t="inlineStr">
        <is>
          <t>Economy Towing Service</t>
        </is>
      </c>
      <c r="D440" s="9" t="inlineStr">
        <is>
          <t>Towing</t>
        </is>
      </c>
      <c r="E440" s="9" t="inlineStr">
        <is>
          <t>(423) 265-0562</t>
        </is>
      </c>
      <c r="F440" s="9" t="inlineStr">
        <is>
          <t>Chattanooga</t>
        </is>
      </c>
      <c r="G440" s="9" t="inlineStr">
        <is>
          <t>1738 Dayton Blvd</t>
        </is>
      </c>
      <c r="H440" s="9" t="inlineStr">
        <is>
          <t>37405</t>
        </is>
      </c>
      <c r="I440" s="9" t="n"/>
      <c r="J440" s="9" t="n"/>
      <c r="K440" s="10" t="n"/>
      <c r="L440" s="10" t="n"/>
      <c r="M440" s="10" t="n"/>
      <c r="N440" s="10" t="n"/>
      <c r="O440" s="9" t="inlineStr">
        <is>
          <t>Gap-filled 2026-09-04: open Google search found no official website and no listing for this business at all - the results return other Chattanooga towing companies instead. Worth checking whether they are still trading.</t>
        </is>
      </c>
    </row>
    <row r="441">
      <c r="A441" s="13" t="inlineStr">
        <is>
          <t>B</t>
        </is>
      </c>
      <c r="B441" s="9" t="inlineStr">
        <is>
          <t>Not phone re-checked</t>
        </is>
      </c>
      <c r="C441" s="9" t="inlineStr">
        <is>
          <t>Elder's Ace Hardware</t>
        </is>
      </c>
      <c r="D441" s="9" t="inlineStr">
        <is>
          <t>Hardware Store</t>
        </is>
      </c>
      <c r="E441" s="9" t="inlineStr">
        <is>
          <t>(423) 517-0177</t>
        </is>
      </c>
      <c r="F441" s="9" t="inlineStr">
        <is>
          <t>Walden</t>
        </is>
      </c>
      <c r="G441" s="9" t="inlineStr">
        <is>
          <t>2000 Taft Hwy</t>
        </is>
      </c>
      <c r="H441" s="9" t="inlineStr">
        <is>
          <t>37377</t>
        </is>
      </c>
      <c r="I441" s="9" t="n"/>
      <c r="J441" s="9" t="inlineStr">
        <is>
          <t>eldershardware.com/locations/walden</t>
        </is>
      </c>
      <c r="K441" s="10" t="n"/>
      <c r="L441" s="10" t="n"/>
      <c r="M441" s="10" t="n"/>
      <c r="N441" s="10" t="n"/>
      <c r="O441" s="9" t="inlineStr">
        <is>
          <t>Gap-filled 2026-09-04: website added, phone and address confirmed unchanged. Same chain as the Highway 58 store already on the list, so one conversation may cover both.</t>
        </is>
      </c>
    </row>
    <row r="442">
      <c r="A442" s="13" t="inlineStr">
        <is>
          <t>B</t>
        </is>
      </c>
      <c r="B442" s="9" t="inlineStr">
        <is>
          <t>Not phone re-checked</t>
        </is>
      </c>
      <c r="C442" s="9" t="inlineStr">
        <is>
          <t>ELDER'S ACE HARDWARE OF SOUTH KNOXVILLE, LLC</t>
        </is>
      </c>
      <c r="D442" s="9" t="inlineStr">
        <is>
          <t>Hardware Store / Building Materials</t>
        </is>
      </c>
      <c r="E442" s="9" t="inlineStr">
        <is>
          <t>(423) 899-6306</t>
        </is>
      </c>
      <c r="F442" s="9" t="inlineStr">
        <is>
          <t>Chattanooga</t>
        </is>
      </c>
      <c r="G442" s="9" t="inlineStr">
        <is>
          <t>4921 Highway 58</t>
        </is>
      </c>
      <c r="H442" s="9" t="inlineStr">
        <is>
          <t>37416</t>
        </is>
      </c>
      <c r="I442" s="9" t="n"/>
      <c r="J442" s="9" t="inlineStr">
        <is>
          <t>eldershardware.com</t>
        </is>
      </c>
      <c r="K442" s="10" t="n"/>
      <c r="L442" s="10" t="n"/>
      <c r="M442" s="10" t="n"/>
      <c r="N442" s="10" t="n"/>
      <c r="O442" s="9" t="inlineStr">
        <is>
          <t>NAME WARNING 2026-09-05: the legal entity is registered as 'of South Knoxville', but the address on this row - 4921 Highway 58, Chattanooga 37416 - is in HAMILTON COUNTY, so the row is in scope despite the name. Do not remove it as out-of-county on the strength of the LLC name alone; the Knoxville reference is the registered entity, not the store. Related to row 337, Elder's Ace Hardware at 2000 Taft Hwy, Walden - same chain, same eldershardware.com, different stores, so these are two genuine locations rather than a duplicate. Hardware chains run their own delivery trucks.</t>
        </is>
      </c>
    </row>
    <row r="443">
      <c r="A443" s="13" t="inlineStr">
        <is>
          <t>B</t>
        </is>
      </c>
      <c r="B443" s="9" t="inlineStr">
        <is>
          <t>Not phone re-checked</t>
        </is>
      </c>
      <c r="C443" s="9" t="inlineStr">
        <is>
          <t>Eldridge Service Company LLC</t>
        </is>
      </c>
      <c r="D443" s="9" t="inlineStr">
        <is>
          <t>HVAC</t>
        </is>
      </c>
      <c r="E443" s="9" t="inlineStr">
        <is>
          <t>(423) 475-5661</t>
        </is>
      </c>
      <c r="F443" s="9" t="inlineStr">
        <is>
          <t>Chattanooga</t>
        </is>
      </c>
      <c r="G443" s="9" t="inlineStr">
        <is>
          <t>3306 Dodds Ave</t>
        </is>
      </c>
      <c r="H443" s="9" t="inlineStr">
        <is>
          <t>37407</t>
        </is>
      </c>
      <c r="I443" s="9" t="n"/>
      <c r="J443" s="9" t="inlineStr">
        <is>
          <t>eldridgeservice.com</t>
        </is>
      </c>
      <c r="K443" s="10" t="n"/>
      <c r="L443" s="10" t="n"/>
      <c r="M443" s="10" t="n"/>
      <c r="N443" s="10" t="n"/>
      <c r="O443" s="9" t="inlineStr">
        <is>
          <t>found website</t>
        </is>
      </c>
    </row>
    <row r="444">
      <c r="A444" s="13" t="inlineStr">
        <is>
          <t>B</t>
        </is>
      </c>
      <c r="B444" s="9" t="inlineStr">
        <is>
          <t>Not phone re-checked</t>
        </is>
      </c>
      <c r="C444" s="9" t="inlineStr">
        <is>
          <t>EMJ Corporation</t>
        </is>
      </c>
      <c r="D444" s="9" t="inlineStr">
        <is>
          <t>Real Estate Development/Construction</t>
        </is>
      </c>
      <c r="E444" s="9" t="inlineStr">
        <is>
          <t>(423) 855-1550</t>
        </is>
      </c>
      <c r="F444" s="9" t="inlineStr">
        <is>
          <t>Chattanooga</t>
        </is>
      </c>
      <c r="G444" s="9" t="inlineStr">
        <is>
          <t>6148 Lee Hwy Ste 300</t>
        </is>
      </c>
      <c r="H444" s="9" t="inlineStr">
        <is>
          <t>37421</t>
        </is>
      </c>
      <c r="I444" s="9" t="inlineStr">
        <is>
          <t>info.chattanooga@emjcorp.com</t>
        </is>
      </c>
      <c r="J444" s="9" t="inlineStr">
        <is>
          <t>emjcorp.com</t>
        </is>
      </c>
      <c r="K444" s="10" t="n"/>
      <c r="L444" s="10" t="n"/>
      <c r="M444" s="10" t="n"/>
      <c r="N444" s="10" t="n"/>
      <c r="O444" s="9" t="inlineStr">
        <is>
          <t>verified emjcorp.com live</t>
        </is>
      </c>
    </row>
    <row r="445">
      <c r="A445" s="13" t="inlineStr">
        <is>
          <t>B</t>
        </is>
      </c>
      <c r="B445" s="9" t="inlineStr">
        <is>
          <t>Not phone re-checked</t>
        </is>
      </c>
      <c r="C445" s="9" t="inlineStr">
        <is>
          <t>ENVIRONMENTAL &amp; HYGIENE SAFETY, INC</t>
        </is>
      </c>
      <c r="D445" s="9" t="inlineStr">
        <is>
          <t>Safety Equipment &amp; Protective Clothing Supply</t>
        </is>
      </c>
      <c r="E445" s="9" t="inlineStr">
        <is>
          <t>(888) 857-9544</t>
        </is>
      </c>
      <c r="F445" s="9" t="inlineStr">
        <is>
          <t>Chattanooga</t>
        </is>
      </c>
      <c r="G445" s="9" t="n"/>
      <c r="H445" s="9" t="n"/>
      <c r="I445" s="9" t="inlineStr">
        <is>
          <t>sales@ehsafety.com</t>
        </is>
      </c>
      <c r="J445" s="9" t="inlineStr">
        <is>
          <t>ehsafety.com</t>
        </is>
      </c>
      <c r="K445" s="10" t="n"/>
      <c r="L445" s="10" t="n"/>
      <c r="M445" s="10" t="n"/>
      <c r="N445" s="10" t="n"/>
      <c r="O445" s="9" t="inlineStr">
        <is>
          <t>A safety products distributor - delivery vehicles rather than a big fleet. Only a toll-free number is published.</t>
        </is>
      </c>
    </row>
    <row r="446">
      <c r="A446" s="13" t="inlineStr">
        <is>
          <t>B</t>
        </is>
      </c>
      <c r="B446" s="9" t="inlineStr">
        <is>
          <t>Not phone re-checked</t>
        </is>
      </c>
      <c r="C446" s="9" t="inlineStr">
        <is>
          <t>EquipmentShare</t>
        </is>
      </c>
      <c r="D446" s="9" t="inlineStr">
        <is>
          <t>Equipment Rental</t>
        </is>
      </c>
      <c r="E446" s="9" t="inlineStr">
        <is>
          <t>(423) 497-1122</t>
        </is>
      </c>
      <c r="F446" s="9" t="inlineStr">
        <is>
          <t>Chattanooga</t>
        </is>
      </c>
      <c r="G446" s="9" t="inlineStr">
        <is>
          <t>4840 Geminus Dr</t>
        </is>
      </c>
      <c r="H446" s="9" t="inlineStr">
        <is>
          <t>37416</t>
        </is>
      </c>
      <c r="I446" s="9" t="n"/>
      <c r="J446" s="9" t="inlineStr">
        <is>
          <t>equipmentshare.com</t>
        </is>
      </c>
      <c r="K446" s="10" t="n"/>
      <c r="L446" s="10" t="n"/>
      <c r="M446" s="10" t="n"/>
      <c r="N446" s="10" t="n"/>
      <c r="O446" s="9" t="inlineStr">
        <is>
          <t>verified equipmentshare.com Chattanooga page live</t>
        </is>
      </c>
    </row>
    <row r="447">
      <c r="A447" s="13" t="inlineStr">
        <is>
          <t>B</t>
        </is>
      </c>
      <c r="B447" s="9" t="inlineStr">
        <is>
          <t>Not phone re-checked</t>
        </is>
      </c>
      <c r="C447" s="9" t="inlineStr">
        <is>
          <t>F2F Transport</t>
        </is>
      </c>
      <c r="D447" s="9" t="inlineStr">
        <is>
          <t>Trucking</t>
        </is>
      </c>
      <c r="E447" s="9" t="inlineStr">
        <is>
          <t>(423) 771-9599</t>
        </is>
      </c>
      <c r="F447" s="9" t="inlineStr">
        <is>
          <t>Chattanooga</t>
        </is>
      </c>
      <c r="G447" s="9" t="inlineStr">
        <is>
          <t>1301 Riverfront Pkwy Ste 120</t>
        </is>
      </c>
      <c r="H447" s="9" t="inlineStr">
        <is>
          <t>37402</t>
        </is>
      </c>
      <c r="I447" s="9" t="inlineStr">
        <is>
          <t>prodriver@f2ftransport.com</t>
        </is>
      </c>
      <c r="J447" s="9" t="inlineStr">
        <is>
          <t>f2ftransport.com</t>
        </is>
      </c>
      <c r="K447" s="10" t="n"/>
      <c r="L447" s="10" t="n"/>
      <c r="M447" s="10" t="n"/>
      <c r="N447" s="10" t="n"/>
      <c r="O447" s="9" t="inlineStr">
        <is>
          <t>verified f2ftransport.com live; email confirmed</t>
        </is>
      </c>
    </row>
    <row r="448">
      <c r="A448" s="13" t="inlineStr">
        <is>
          <t>B</t>
        </is>
      </c>
      <c r="B448" s="9" t="inlineStr">
        <is>
          <t>Not phone re-checked</t>
        </is>
      </c>
      <c r="C448" s="9" t="inlineStr">
        <is>
          <t>Factory Sales Agency</t>
        </is>
      </c>
      <c r="D448" s="9" t="inlineStr">
        <is>
          <t>Lighting Manufacturers' Representative</t>
        </is>
      </c>
      <c r="E448" s="9" t="inlineStr">
        <is>
          <t>(423) 899-3724</t>
        </is>
      </c>
      <c r="F448" s="9" t="inlineStr">
        <is>
          <t>Hixson</t>
        </is>
      </c>
      <c r="G448" s="9" t="inlineStr">
        <is>
          <t>2733 Kanasita Drive, Suite 101</t>
        </is>
      </c>
      <c r="H448" s="9" t="inlineStr">
        <is>
          <t>37343</t>
        </is>
      </c>
      <c r="I448" s="9" t="n"/>
      <c r="J448" s="9" t="inlineStr">
        <is>
          <t>fsalighting.com</t>
        </is>
      </c>
      <c r="K448" s="10" t="n"/>
      <c r="L448" s="10" t="n"/>
      <c r="M448" s="10" t="n"/>
      <c r="N448" s="10" t="n"/>
      <c r="O448" s="9" t="inlineStr">
        <is>
          <t>Trades as FSA Lighting. This one is IN HIXSON - Kanasita Drive, same street as a couple of others in this batch. Outside sales reps drive to job sites and specifiers all week.</t>
        </is>
      </c>
    </row>
    <row r="449">
      <c r="A449" s="13" t="inlineStr">
        <is>
          <t>B</t>
        </is>
      </c>
      <c r="B449" s="9" t="inlineStr">
        <is>
          <t>Not phone re-checked</t>
        </is>
      </c>
      <c r="C449" s="9" t="inlineStr">
        <is>
          <t>Fire &amp; Water Damage Recovery (Chattanooga Water Recovery Team)</t>
        </is>
      </c>
      <c r="D449" s="9" t="inlineStr">
        <is>
          <t>Restoration (Fire/Water)</t>
        </is>
      </c>
      <c r="E449" s="9" t="inlineStr">
        <is>
          <t>(423) 482-9838</t>
        </is>
      </c>
      <c r="F449" s="9" t="inlineStr">
        <is>
          <t>Chattanooga</t>
        </is>
      </c>
      <c r="G449" s="9" t="inlineStr">
        <is>
          <t>8111 E Brainerd Rd</t>
        </is>
      </c>
      <c r="H449" s="9" t="inlineStr">
        <is>
          <t>37421</t>
        </is>
      </c>
      <c r="I449" s="9" t="n"/>
      <c r="J449" s="9" t="inlineStr">
        <is>
          <t>chattanoogawaterdamagepros.com</t>
        </is>
      </c>
      <c r="K449" s="10" t="n"/>
      <c r="L449" s="10" t="n"/>
      <c r="M449" s="10" t="n"/>
      <c r="N449" s="10" t="n"/>
      <c r="O449" s="9" t="inlineStr">
        <is>
          <t>verified chattanoogawaterdamagepros.com live</t>
        </is>
      </c>
    </row>
    <row r="450">
      <c r="A450" s="13" t="inlineStr">
        <is>
          <t>B</t>
        </is>
      </c>
      <c r="B450" s="9" t="inlineStr">
        <is>
          <t>Not phone re-checked</t>
        </is>
      </c>
      <c r="C450" s="9" t="inlineStr">
        <is>
          <t>First Presbyterian Church (Soddy-Daisy)</t>
        </is>
      </c>
      <c r="D450" s="9" t="inlineStr">
        <is>
          <t>Church</t>
        </is>
      </c>
      <c r="E450" s="9" t="inlineStr">
        <is>
          <t>(423) 332-2327</t>
        </is>
      </c>
      <c r="F450" s="9" t="inlineStr">
        <is>
          <t>Soddy-Daisy</t>
        </is>
      </c>
      <c r="G450" s="9" t="inlineStr">
        <is>
          <t>10612 Dayton Pike</t>
        </is>
      </c>
      <c r="H450" s="9" t="inlineStr">
        <is>
          <t>37379</t>
        </is>
      </c>
      <c r="I450" s="9" t="n"/>
      <c r="J450" s="9" t="inlineStr">
        <is>
          <t>pcusa.org/congregation/first-church-soddy-daisy-tn</t>
        </is>
      </c>
      <c r="K450" s="10" t="n"/>
      <c r="L450" s="10" t="n"/>
      <c r="M450" s="10" t="n"/>
      <c r="N450" s="10" t="n"/>
      <c r="O450" s="9" t="inlineStr">
        <is>
          <t>Verified against the denomination's own congregation record: address and phone confirmed. Email listed only in obfuscated form. Congregation has no site of its own.</t>
        </is>
      </c>
    </row>
    <row r="451">
      <c r="A451" s="13" t="inlineStr">
        <is>
          <t>B</t>
        </is>
      </c>
      <c r="B451" s="9" t="inlineStr">
        <is>
          <t>Not phone re-checked</t>
        </is>
      </c>
      <c r="C451" s="9" t="inlineStr">
        <is>
          <t>FlyLock Security Solutions-Chattanooga</t>
        </is>
      </c>
      <c r="D451" s="9" t="inlineStr">
        <is>
          <t>Commercial Locksmith / Access Control</t>
        </is>
      </c>
      <c r="E451" s="9" t="inlineStr">
        <is>
          <t>(423) 815-5599</t>
        </is>
      </c>
      <c r="F451" s="9" t="inlineStr">
        <is>
          <t>Chattanooga</t>
        </is>
      </c>
      <c r="G451" s="9" t="inlineStr">
        <is>
          <t>2212 Encompass Drive Suite 166</t>
        </is>
      </c>
      <c r="H451" s="9" t="n"/>
      <c r="I451" s="9" t="inlineStr">
        <is>
          <t>info@flylock.com</t>
        </is>
      </c>
      <c r="J451" s="9" t="inlineStr">
        <is>
          <t>flylock.com/locations/chattanooga</t>
        </is>
      </c>
      <c r="K451" s="10" t="n"/>
      <c r="L451" s="10" t="n"/>
      <c r="M451" s="10" t="n"/>
      <c r="N451" s="10" t="n"/>
      <c r="O451" s="9" t="inlineStr">
        <is>
          <t>Gap-filled 2026-09-04: phone, email, address and website added. They trade as The Flying Locksmiths too. Mobile locksmith vans running service calls all day, and they cover into Dalton GA.</t>
        </is>
      </c>
    </row>
    <row r="452">
      <c r="A452" s="13" t="inlineStr">
        <is>
          <t>B</t>
        </is>
      </c>
      <c r="B452" s="9" t="inlineStr">
        <is>
          <t>Not phone re-checked</t>
        </is>
      </c>
      <c r="C452" s="9" t="inlineStr">
        <is>
          <t>Gas Appliances Unlimited</t>
        </is>
      </c>
      <c r="D452" s="9" t="inlineStr">
        <is>
          <t>HVAC / Gas Appliance Install &amp; Repair</t>
        </is>
      </c>
      <c r="E452" s="9" t="inlineStr">
        <is>
          <t>(423) 877-6303</t>
        </is>
      </c>
      <c r="F452" s="9" t="inlineStr">
        <is>
          <t>Hixson</t>
        </is>
      </c>
      <c r="G452" s="9" t="inlineStr">
        <is>
          <t>5604 Hwy 153</t>
        </is>
      </c>
      <c r="H452" s="9" t="inlineStr">
        <is>
          <t>37343</t>
        </is>
      </c>
      <c r="I452" s="9" t="n"/>
      <c r="J452" s="9" t="inlineStr">
        <is>
          <t>gasappliancesunlimited.com</t>
        </is>
      </c>
      <c r="K452" s="10" t="n"/>
      <c r="L452" s="10" t="n"/>
      <c r="M452" s="10" t="n"/>
      <c r="N452" s="10" t="n"/>
      <c r="O452" s="9" t="inlineStr">
        <is>
          <t>found website; owners named</t>
        </is>
      </c>
    </row>
    <row r="453">
      <c r="A453" s="13" t="inlineStr">
        <is>
          <t>B</t>
        </is>
      </c>
      <c r="B453" s="9" t="inlineStr">
        <is>
          <t>Not phone re-checked</t>
        </is>
      </c>
      <c r="C453" s="9" t="inlineStr">
        <is>
          <t>GenTech Construction</t>
        </is>
      </c>
      <c r="D453" s="9" t="inlineStr">
        <is>
          <t>General Contractor</t>
        </is>
      </c>
      <c r="E453" s="9" t="inlineStr">
        <is>
          <t>(423) 267-3373</t>
        </is>
      </c>
      <c r="F453" s="9" t="inlineStr">
        <is>
          <t>Chattanooga</t>
        </is>
      </c>
      <c r="G453" s="9" t="inlineStr">
        <is>
          <t>820 Broad Street, Suite 400</t>
        </is>
      </c>
      <c r="H453" s="9" t="inlineStr">
        <is>
          <t>37402</t>
        </is>
      </c>
      <c r="I453" s="9" t="n"/>
      <c r="J453" s="9" t="inlineStr">
        <is>
          <t>gentechconstruction.com</t>
        </is>
      </c>
      <c r="K453" s="10" t="n"/>
      <c r="L453" s="10" t="n"/>
      <c r="M453" s="10" t="n"/>
      <c r="N453" s="10" t="n"/>
      <c r="O453" s="9" t="inlineStr">
        <is>
          <t>Small downtown office site.</t>
        </is>
      </c>
    </row>
    <row r="454">
      <c r="A454" s="13" t="inlineStr">
        <is>
          <t>B</t>
        </is>
      </c>
      <c r="B454" s="9" t="inlineStr">
        <is>
          <t>Not phone re-checked</t>
        </is>
      </c>
      <c r="C454" s="9" t="inlineStr">
        <is>
          <t>George Grant Company</t>
        </is>
      </c>
      <c r="D454" s="9" t="inlineStr">
        <is>
          <t>Industrial Process Equipment &amp; Instrumentation</t>
        </is>
      </c>
      <c r="E454" s="9" t="inlineStr">
        <is>
          <t>(423) 875-3241</t>
        </is>
      </c>
      <c r="F454" s="9" t="inlineStr">
        <is>
          <t>Hixson</t>
        </is>
      </c>
      <c r="G454" s="9" t="n"/>
      <c r="H454" s="9" t="inlineStr">
        <is>
          <t>37343</t>
        </is>
      </c>
      <c r="I454" s="9" t="n"/>
      <c r="J454" s="9" t="inlineStr">
        <is>
          <t>georgegrantco.com</t>
        </is>
      </c>
      <c r="K454" s="10" t="n"/>
      <c r="L454" s="10" t="n"/>
      <c r="M454" s="10" t="n"/>
      <c r="N454" s="10" t="n"/>
      <c r="O454" s="9" t="inlineStr">
        <is>
          <t>NEW LEAD. Business-run page: phone and website confirmed. Supplies process equipment to industrial plants, so field service vehicles. No address published.</t>
        </is>
      </c>
    </row>
    <row r="455">
      <c r="A455" s="13" t="inlineStr">
        <is>
          <t>B</t>
        </is>
      </c>
      <c r="B455" s="9" t="inlineStr">
        <is>
          <t>Not phone re-checked</t>
        </is>
      </c>
      <c r="C455" s="9" t="inlineStr">
        <is>
          <t>George Wright Construction</t>
        </is>
      </c>
      <c r="D455" s="9" t="inlineStr">
        <is>
          <t>Custom Homes &amp; Commercial Construction</t>
        </is>
      </c>
      <c r="E455" s="9" t="inlineStr">
        <is>
          <t>(423) 332-9044</t>
        </is>
      </c>
      <c r="F455" s="9" t="inlineStr">
        <is>
          <t>Soddy-Daisy</t>
        </is>
      </c>
      <c r="G455" s="9" t="inlineStr">
        <is>
          <t>222 Sequoyah Road Suite F</t>
        </is>
      </c>
      <c r="H455" s="9" t="inlineStr">
        <is>
          <t>37379</t>
        </is>
      </c>
      <c r="I455" s="9" t="inlineStr">
        <is>
          <t>info@georgewrightconstruction.com</t>
        </is>
      </c>
      <c r="J455" s="9" t="inlineStr">
        <is>
          <t>georgewrightconstruction.com</t>
        </is>
      </c>
      <c r="K455" s="10" t="n"/>
      <c r="L455" s="10" t="n"/>
      <c r="M455" s="10" t="n"/>
      <c r="N455" s="10" t="n"/>
      <c r="O455" s="9" t="inlineStr">
        <is>
          <t>Small builder at 1-10 staff, so a couple of crew trucks - held at B. Full contact set including a monitored email, which is unusual this far down the queue. Their own site puts them on Sequoyah Road, not the 136 Bean Street on the record.</t>
        </is>
      </c>
    </row>
    <row r="456">
      <c r="A456" s="13" t="inlineStr">
        <is>
          <t>B</t>
        </is>
      </c>
      <c r="B456" s="9" t="inlineStr">
        <is>
          <t>Not phone re-checked</t>
        </is>
      </c>
      <c r="C456" s="9" t="inlineStr">
        <is>
          <t>Goodwill Industries of the Greater Chattanooga Area</t>
        </is>
      </c>
      <c r="D456" s="9" t="inlineStr">
        <is>
          <t>Large Nonprofit (Donated Goods)</t>
        </is>
      </c>
      <c r="E456" s="9" t="inlineStr">
        <is>
          <t>(423) 629-2501</t>
        </is>
      </c>
      <c r="F456" s="9" t="inlineStr">
        <is>
          <t>Chattanooga</t>
        </is>
      </c>
      <c r="G456" s="9" t="inlineStr">
        <is>
          <t>6104 Preservation Dr</t>
        </is>
      </c>
      <c r="H456" s="9" t="inlineStr">
        <is>
          <t>37416</t>
        </is>
      </c>
      <c r="I456" s="9" t="n"/>
      <c r="J456" s="9" t="inlineStr">
        <is>
          <t>goodwillchatt.org</t>
        </is>
      </c>
      <c r="K456" s="10" t="n"/>
      <c r="L456" s="10" t="n"/>
      <c r="M456" s="10" t="n"/>
      <c r="N456" s="10" t="n"/>
      <c r="O456" s="9" t="inlineStr">
        <is>
          <t>verified goodwillchatt.org live</t>
        </is>
      </c>
    </row>
    <row r="457">
      <c r="A457" s="13" t="inlineStr">
        <is>
          <t>B</t>
        </is>
      </c>
      <c r="B457" s="9" t="inlineStr">
        <is>
          <t>Not phone re-checked</t>
        </is>
      </c>
      <c r="C457" s="9" t="inlineStr">
        <is>
          <t>Goodyear Auto Service (Hixson)</t>
        </is>
      </c>
      <c r="D457" s="9" t="inlineStr">
        <is>
          <t>Tire &amp; Auto Service</t>
        </is>
      </c>
      <c r="E457" s="9" t="inlineStr">
        <is>
          <t>(423) 875-6793</t>
        </is>
      </c>
      <c r="F457" s="9" t="inlineStr">
        <is>
          <t>Hixson</t>
        </is>
      </c>
      <c r="G457" s="9" t="inlineStr">
        <is>
          <t>5407 Highway 153</t>
        </is>
      </c>
      <c r="H457" s="9" t="inlineStr">
        <is>
          <t>37343</t>
        </is>
      </c>
      <c r="I457" s="9" t="n"/>
      <c r="J457" s="9" t="inlineStr">
        <is>
          <t>goodyearautoservice.com</t>
        </is>
      </c>
      <c r="K457" s="10" t="n"/>
      <c r="L457" s="10" t="n"/>
      <c r="M457" s="10" t="n"/>
      <c r="N457" s="10" t="n"/>
      <c r="O457" s="9" t="inlineStr">
        <is>
          <t>NEW LEAD. Store page: address and phone confirmed. Does commercial fleet servicing.</t>
        </is>
      </c>
    </row>
    <row r="458">
      <c r="A458" s="13" t="inlineStr">
        <is>
          <t>B</t>
        </is>
      </c>
      <c r="B458" s="9" t="inlineStr">
        <is>
          <t>Not phone re-checked</t>
        </is>
      </c>
      <c r="C458" s="9" t="inlineStr">
        <is>
          <t>Graham Auto Repair</t>
        </is>
      </c>
      <c r="D458" s="9" t="inlineStr">
        <is>
          <t>Auto Repair</t>
        </is>
      </c>
      <c r="E458" s="9" t="inlineStr">
        <is>
          <t>(423) 498-4163</t>
        </is>
      </c>
      <c r="F458" s="9" t="inlineStr">
        <is>
          <t>Hixson</t>
        </is>
      </c>
      <c r="G458" s="9" t="inlineStr">
        <is>
          <t>8615 Hixson Pike Ste 104</t>
        </is>
      </c>
      <c r="H458" s="9" t="inlineStr">
        <is>
          <t>37343</t>
        </is>
      </c>
      <c r="I458" s="9" t="inlineStr">
        <is>
          <t>graham1autorepair@gmail.com</t>
        </is>
      </c>
      <c r="J458" s="9" t="n"/>
      <c r="K458" s="10" t="n"/>
      <c r="L458" s="10" t="n"/>
      <c r="M458" s="10" t="n"/>
      <c r="N458" s="10" t="n"/>
      <c r="O458" s="9" t="inlineStr">
        <is>
          <t>Gap-filled 2026-09-04: no official website could be found - searches return other Hixson auto shops. The row already carries a phone and a real email, both left unchanged.</t>
        </is>
      </c>
    </row>
    <row r="459">
      <c r="A459" s="13" t="inlineStr">
        <is>
          <t>B</t>
        </is>
      </c>
      <c r="B459" s="9" t="inlineStr">
        <is>
          <t>Not phone re-checked</t>
        </is>
      </c>
      <c r="C459" s="9" t="inlineStr">
        <is>
          <t>GrimeBusters Power Washing</t>
        </is>
      </c>
      <c r="D459" s="9" t="inlineStr">
        <is>
          <t>Pressure Washing &amp; Exterior Cleaning</t>
        </is>
      </c>
      <c r="E459" s="9" t="inlineStr">
        <is>
          <t>(423) 615-9567</t>
        </is>
      </c>
      <c r="F459" s="9" t="inlineStr">
        <is>
          <t>Ooltewah</t>
        </is>
      </c>
      <c r="G459" s="9" t="n"/>
      <c r="H459" s="9" t="inlineStr">
        <is>
          <t>37363</t>
        </is>
      </c>
      <c r="I459" s="9" t="n"/>
      <c r="J459" s="9" t="inlineStr">
        <is>
          <t>grimebusterstn.com</t>
        </is>
      </c>
      <c r="K459" s="10" t="n"/>
      <c r="L459" s="10" t="n"/>
      <c r="M459" s="10" t="n"/>
      <c r="N459" s="10" t="n"/>
      <c r="O459" s="9" t="inlineStr">
        <is>
          <t>Power washing rigs are trucks with tanks and reels, out on residential and commercial jobs daily - a small fleet but a real one. The record carried no street address and their own site does not print one, so the row stays address-free. Worth noting they also clean windows, so they are a mild trade neighbour.</t>
        </is>
      </c>
    </row>
    <row r="460">
      <c r="A460" s="13" t="inlineStr">
        <is>
          <t>B</t>
        </is>
      </c>
      <c r="B460" s="9" t="inlineStr">
        <is>
          <t>Not phone re-checked</t>
        </is>
      </c>
      <c r="C460" s="9" t="inlineStr">
        <is>
          <t>Groundscape Concepts, LLC</t>
        </is>
      </c>
      <c r="D460" s="9" t="inlineStr">
        <is>
          <t>Landscaping</t>
        </is>
      </c>
      <c r="E460" s="9" t="inlineStr">
        <is>
          <t>(423) 622-4297</t>
        </is>
      </c>
      <c r="F460" s="9" t="inlineStr">
        <is>
          <t>Chattanooga</t>
        </is>
      </c>
      <c r="G460" s="9" t="inlineStr">
        <is>
          <t>1332 Stuart Street</t>
        </is>
      </c>
      <c r="H460" s="9" t="n"/>
      <c r="I460" s="9" t="n"/>
      <c r="J460" s="9" t="inlineStr">
        <is>
          <t>groundscapeconcepts.com</t>
        </is>
      </c>
      <c r="K460" s="10" t="n"/>
      <c r="L460" s="10" t="n"/>
      <c r="M460" s="10" t="n"/>
      <c r="N460" s="10" t="n"/>
      <c r="O460" s="9" t="inlineStr">
        <is>
          <t>Gap-filled 2026-09-04: phone, address and website added. Bulk mulch and erosion control matting means dump trucks and flatbeds delivering to construction sites.</t>
        </is>
      </c>
    </row>
    <row r="461">
      <c r="A461" s="13" t="inlineStr">
        <is>
          <t>B</t>
        </is>
      </c>
      <c r="B461" s="9" t="inlineStr">
        <is>
          <t>Not phone re-checked</t>
        </is>
      </c>
      <c r="C461" s="9" t="inlineStr">
        <is>
          <t>Groves Electric Inc.</t>
        </is>
      </c>
      <c r="D461" s="9" t="inlineStr">
        <is>
          <t>Electrical Contractor (Commercial/Industrial)</t>
        </is>
      </c>
      <c r="E461" s="9" t="inlineStr">
        <is>
          <t>(423) 847-3300</t>
        </is>
      </c>
      <c r="F461" s="9" t="inlineStr">
        <is>
          <t>Chattanooga</t>
        </is>
      </c>
      <c r="G461" s="9" t="inlineStr">
        <is>
          <t>5963 Dayton Blvd Ste 105</t>
        </is>
      </c>
      <c r="H461" s="9" t="inlineStr">
        <is>
          <t>37415</t>
        </is>
      </c>
      <c r="I461" s="9" t="n"/>
      <c r="J461" s="9" t="inlineStr">
        <is>
          <t>groveselectric.net</t>
        </is>
      </c>
      <c r="K461" s="10" t="n"/>
      <c r="L461" s="10" t="n"/>
      <c r="M461" s="10" t="n"/>
      <c r="N461" s="10" t="n"/>
      <c r="O461" s="9" t="inlineStr">
        <is>
          <t>verified groveselectric.net live</t>
        </is>
      </c>
    </row>
    <row r="462">
      <c r="A462" s="13" t="inlineStr">
        <is>
          <t>B</t>
        </is>
      </c>
      <c r="B462" s="9" t="inlineStr">
        <is>
          <t>Not phone re-checked</t>
        </is>
      </c>
      <c r="C462" s="9" t="inlineStr">
        <is>
          <t>H&amp;H Flooring LLC</t>
        </is>
      </c>
      <c r="D462" s="9" t="inlineStr">
        <is>
          <t>Flooring Sales &amp; Installation</t>
        </is>
      </c>
      <c r="E462" s="9" t="inlineStr">
        <is>
          <t>(423) 498-2200</t>
        </is>
      </c>
      <c r="F462" s="9" t="inlineStr">
        <is>
          <t>Hixson</t>
        </is>
      </c>
      <c r="G462" s="9" t="n"/>
      <c r="H462" s="9" t="inlineStr">
        <is>
          <t>37343</t>
        </is>
      </c>
      <c r="I462" s="9" t="n"/>
      <c r="J462" s="9" t="inlineStr">
        <is>
          <t>hhflooringllc.com</t>
        </is>
      </c>
      <c r="K462" s="10" t="n"/>
      <c r="L462" s="10" t="n"/>
      <c r="M462" s="10" t="n"/>
      <c r="N462" s="10" t="n"/>
      <c r="O462" s="9" t="inlineStr">
        <is>
          <t>New lead. Showroom is in Hixson but the site never prints the street address - ask when you call. Install crews haul material daily.</t>
        </is>
      </c>
    </row>
    <row r="463">
      <c r="A463" s="13" t="inlineStr">
        <is>
          <t>B</t>
        </is>
      </c>
      <c r="B463" s="9" t="inlineStr">
        <is>
          <t>Not phone re-checked</t>
        </is>
      </c>
      <c r="C463" s="9" t="inlineStr">
        <is>
          <t>Hamilton County Sheriff's Office (Administration)</t>
        </is>
      </c>
      <c r="D463" s="9" t="inlineStr">
        <is>
          <t>County Government (Law Enforcement)</t>
        </is>
      </c>
      <c r="E463" s="9" t="inlineStr">
        <is>
          <t>(423) 622-0022</t>
        </is>
      </c>
      <c r="F463" s="9" t="inlineStr">
        <is>
          <t>Chattanooga</t>
        </is>
      </c>
      <c r="G463" s="9" t="inlineStr">
        <is>
          <t>600 Market St</t>
        </is>
      </c>
      <c r="H463" s="9" t="inlineStr">
        <is>
          <t>37402</t>
        </is>
      </c>
      <c r="I463" s="9" t="n"/>
      <c r="J463" s="9" t="inlineStr">
        <is>
          <t>hcsheriff.gov</t>
        </is>
      </c>
      <c r="K463" s="10" t="n"/>
      <c r="L463" s="10" t="n"/>
      <c r="M463" s="10" t="n"/>
      <c r="N463" s="10" t="n"/>
      <c r="O463" s="9" t="inlineStr">
        <is>
          <t>verified hcsheriff.gov live; admin line 423-209-7000</t>
        </is>
      </c>
    </row>
    <row r="464">
      <c r="A464" s="13" t="inlineStr">
        <is>
          <t>B</t>
        </is>
      </c>
      <c r="B464" s="9" t="inlineStr">
        <is>
          <t>Not phone re-checked</t>
        </is>
      </c>
      <c r="C464" s="9" t="inlineStr">
        <is>
          <t>Haskel Sears Design</t>
        </is>
      </c>
      <c r="D464" s="9" t="inlineStr">
        <is>
          <t>Design &amp; Construction</t>
        </is>
      </c>
      <c r="E464" s="9" t="inlineStr">
        <is>
          <t>(706) 207-0599</t>
        </is>
      </c>
      <c r="F464" s="9" t="inlineStr">
        <is>
          <t>Chattanooga</t>
        </is>
      </c>
      <c r="G464" s="9" t="inlineStr">
        <is>
          <t>719 Cherry Street</t>
        </is>
      </c>
      <c r="H464" s="9" t="inlineStr">
        <is>
          <t>37402</t>
        </is>
      </c>
      <c r="I464" s="9" t="n"/>
      <c r="J464" s="9" t="inlineStr">
        <is>
          <t>haskelsearsdesign.com</t>
        </is>
      </c>
      <c r="K464" s="10" t="n"/>
      <c r="L464" s="10" t="n"/>
      <c r="M464" s="10" t="n"/>
      <c r="N464" s="10" t="n"/>
      <c r="O464" s="9" t="inlineStr">
        <is>
          <t>Note the 706 area code - a north Georgia number on a Chattanooga business. They build the city's restaurants and breweries.</t>
        </is>
      </c>
    </row>
    <row r="465">
      <c r="A465" s="13" t="inlineStr">
        <is>
          <t>B</t>
        </is>
      </c>
      <c r="B465" s="9" t="inlineStr">
        <is>
          <t>Not phone re-checked</t>
        </is>
      </c>
      <c r="C465" s="9" t="inlineStr">
        <is>
          <t>Hazelwood Painting</t>
        </is>
      </c>
      <c r="D465" s="9" t="inlineStr">
        <is>
          <t>Painting Contractor</t>
        </is>
      </c>
      <c r="E465" s="9" t="inlineStr">
        <is>
          <t>(423) 802-1379</t>
        </is>
      </c>
      <c r="F465" s="9" t="inlineStr">
        <is>
          <t>Soddy-Daisy</t>
        </is>
      </c>
      <c r="G465" s="9" t="inlineStr">
        <is>
          <t>1235 Thatcher Rd</t>
        </is>
      </c>
      <c r="H465" s="9" t="inlineStr">
        <is>
          <t>37379</t>
        </is>
      </c>
      <c r="I465" s="9" t="inlineStr">
        <is>
          <t>hrhazelwood@gmail.com</t>
        </is>
      </c>
      <c r="J465" s="9" t="inlineStr">
        <is>
          <t>hazelwoodpainting.com</t>
        </is>
      </c>
      <c r="K465" s="10" t="n"/>
      <c r="L465" s="10" t="n"/>
      <c r="M465" s="10" t="n"/>
      <c r="N465" s="10" t="n"/>
      <c r="O465" s="9" t="inlineStr">
        <is>
          <t>Business-run page: address, phone, email and website all confirmed - the sheet had only the phone.</t>
        </is>
      </c>
    </row>
    <row r="466">
      <c r="A466" s="13" t="inlineStr">
        <is>
          <t>B</t>
        </is>
      </c>
      <c r="B466" s="9" t="inlineStr">
        <is>
          <t>Not phone re-checked</t>
        </is>
      </c>
      <c r="C466" s="9" t="inlineStr">
        <is>
          <t>Heiss MTN Services</t>
        </is>
      </c>
      <c r="D466" s="9" t="inlineStr">
        <is>
          <t>Commercial Kitchen / Refrigeration / Ice / HVAC Repair</t>
        </is>
      </c>
      <c r="E466" s="9" t="inlineStr">
        <is>
          <t>(423) 847-5489</t>
        </is>
      </c>
      <c r="F466" s="9" t="inlineStr">
        <is>
          <t>Soddy-Daisy</t>
        </is>
      </c>
      <c r="G466" s="9" t="inlineStr">
        <is>
          <t>11190 Pickett St</t>
        </is>
      </c>
      <c r="H466" s="9" t="inlineStr">
        <is>
          <t>37379</t>
        </is>
      </c>
      <c r="I466" s="9" t="inlineStr">
        <is>
          <t>heissmtnservice@gmail.com</t>
        </is>
      </c>
      <c r="J466" s="9" t="inlineStr">
        <is>
          <t>heissmtnservices.com</t>
        </is>
      </c>
      <c r="K466" s="10" t="n"/>
      <c r="L466" s="10" t="n"/>
      <c r="M466" s="10" t="n"/>
      <c r="N466" s="10" t="n"/>
      <c r="O466" s="9" t="inlineStr">
        <is>
          <t>Gap-filled 2026-09-04: phone and email added from their own site; address confirmed unchanged. 24/7 commercial service means vans out at all hours - good windscreen exposure.</t>
        </is>
      </c>
    </row>
    <row r="467">
      <c r="A467" s="13" t="inlineStr">
        <is>
          <t>B</t>
        </is>
      </c>
      <c r="B467" s="9" t="inlineStr">
        <is>
          <t>Not phone re-checked</t>
        </is>
      </c>
      <c r="C467" s="9" t="inlineStr">
        <is>
          <t>Heritage Fence &amp; Repair, Inc.</t>
        </is>
      </c>
      <c r="D467" s="9" t="inlineStr">
        <is>
          <t>Fencing / Gate Installation</t>
        </is>
      </c>
      <c r="E467" s="9" t="inlineStr">
        <is>
          <t>(423) 822-8450</t>
        </is>
      </c>
      <c r="F467" s="9" t="inlineStr">
        <is>
          <t>Hixson</t>
        </is>
      </c>
      <c r="G467" s="9" t="inlineStr">
        <is>
          <t>5010 Austin Road, Suite 107</t>
        </is>
      </c>
      <c r="H467" s="9" t="inlineStr">
        <is>
          <t>37343</t>
        </is>
      </c>
      <c r="I467" s="9" t="n"/>
      <c r="J467" s="9" t="inlineStr">
        <is>
          <t>heritagefencetn.com</t>
        </is>
      </c>
      <c r="K467" s="10" t="n"/>
      <c r="L467" s="10" t="n"/>
      <c r="M467" s="10" t="n"/>
      <c r="N467" s="10" t="n"/>
      <c r="O467" s="9" t="inlineStr">
        <is>
          <t>Gap-filled 2026-09-04: phone added, address confirmed unchanged. Fence crews haul posts and panels on trailers, and they offer same-day emergency repairs, so the trucks move. Ask for Philip or Kathryn Gardner.</t>
        </is>
      </c>
    </row>
    <row r="468">
      <c r="A468" s="13" t="inlineStr">
        <is>
          <t>B</t>
        </is>
      </c>
      <c r="B468" s="9" t="inlineStr">
        <is>
          <t>Not phone re-checked</t>
        </is>
      </c>
      <c r="C468" s="9" t="inlineStr">
        <is>
          <t>Hgh Construction LLC</t>
        </is>
      </c>
      <c r="D468" s="9" t="inlineStr">
        <is>
          <t>Home Builder / Renovation</t>
        </is>
      </c>
      <c r="E468" s="9" t="inlineStr">
        <is>
          <t>(423) 267-9444</t>
        </is>
      </c>
      <c r="F468" s="9" t="inlineStr">
        <is>
          <t>Chattanooga</t>
        </is>
      </c>
      <c r="G468" s="9" t="inlineStr">
        <is>
          <t>179 Hamm Rd.</t>
        </is>
      </c>
      <c r="H468" s="9" t="inlineStr">
        <is>
          <t>37405</t>
        </is>
      </c>
      <c r="I468" s="9" t="n"/>
      <c r="J468" s="9" t="inlineStr">
        <is>
          <t>hghconstruction.com</t>
        </is>
      </c>
      <c r="K468" s="10" t="n"/>
      <c r="L468" s="10" t="n"/>
      <c r="M468" s="10" t="n"/>
      <c r="N468" s="10" t="n"/>
      <c r="O468" s="9" t="inlineStr">
        <is>
          <t>They run a showroom as well as build. Full address and phone.</t>
        </is>
      </c>
    </row>
    <row r="469">
      <c r="A469" s="13" t="inlineStr">
        <is>
          <t>B</t>
        </is>
      </c>
      <c r="B469" s="9" t="inlineStr">
        <is>
          <t>Not phone re-checked</t>
        </is>
      </c>
      <c r="C469" s="9" t="inlineStr">
        <is>
          <t>Hines Designs Landscaping</t>
        </is>
      </c>
      <c r="D469" s="9" t="inlineStr">
        <is>
          <t>Landscaping, Hardscaping &amp; Land Clearing</t>
        </is>
      </c>
      <c r="E469" s="9" t="inlineStr">
        <is>
          <t>(423) 314-2982</t>
        </is>
      </c>
      <c r="F469" s="9" t="inlineStr">
        <is>
          <t>Soddy-Daisy</t>
        </is>
      </c>
      <c r="G469" s="9" t="n"/>
      <c r="H469" s="9" t="inlineStr">
        <is>
          <t>37379</t>
        </is>
      </c>
      <c r="I469" s="9" t="n"/>
      <c r="J469" s="9" t="inlineStr">
        <is>
          <t>hineslandscapes.com</t>
        </is>
      </c>
      <c r="K469" s="10" t="n"/>
      <c r="L469" s="10" t="n"/>
      <c r="M469" s="10" t="n"/>
      <c r="N469" s="10" t="n"/>
      <c r="O469" s="9" t="inlineStr">
        <is>
          <t>Land clearing is the interesting part - that means skid steers and dump trailers rather than just mowers, so more fleet than a lawn service. Their own site does not print a street address, so the record's 146 Pottery Lane is left off. No email published.</t>
        </is>
      </c>
    </row>
    <row r="470">
      <c r="A470" s="13" t="inlineStr">
        <is>
          <t>B</t>
        </is>
      </c>
      <c r="B470" s="9" t="inlineStr">
        <is>
          <t>Not phone re-checked</t>
        </is>
      </c>
      <c r="C470" s="9" t="inlineStr">
        <is>
          <t>Home Helpers Home Care of Chattanooga</t>
        </is>
      </c>
      <c r="D470" s="9" t="inlineStr">
        <is>
          <t>Home Health Care / Senior Care</t>
        </is>
      </c>
      <c r="E470" s="9" t="inlineStr">
        <is>
          <t>(423) 567-3052</t>
        </is>
      </c>
      <c r="F470" s="9" t="inlineStr">
        <is>
          <t>Chattanooga</t>
        </is>
      </c>
      <c r="G470" s="9" t="inlineStr">
        <is>
          <t>6101 Enterprise Park Dr</t>
        </is>
      </c>
      <c r="H470" s="9" t="inlineStr">
        <is>
          <t>37416</t>
        </is>
      </c>
      <c r="I470" s="9" t="n"/>
      <c r="J470" s="9" t="inlineStr">
        <is>
          <t>homehelpershomecare.com/chattanooga</t>
        </is>
      </c>
      <c r="K470" s="10" t="n"/>
      <c r="L470" s="10" t="n"/>
      <c r="M470" s="10" t="n"/>
      <c r="N470" s="10" t="n"/>
      <c r="O470" s="9" t="inlineStr">
        <is>
          <t>New lead. Caregivers drive to clients all day across Hamilton County. Locally owned franchise - decisions are made at this office, not corporate.</t>
        </is>
      </c>
    </row>
    <row r="471">
      <c r="A471" s="13" t="inlineStr">
        <is>
          <t>B</t>
        </is>
      </c>
      <c r="B471" s="9" t="inlineStr">
        <is>
          <t>Not phone re-checked</t>
        </is>
      </c>
      <c r="C471" s="9" t="inlineStr">
        <is>
          <t>Hyde's Automotive</t>
        </is>
      </c>
      <c r="D471" s="9" t="inlineStr">
        <is>
          <t>Auto Repair / Towing</t>
        </is>
      </c>
      <c r="E471" s="9" t="inlineStr">
        <is>
          <t>(423) 344-3677</t>
        </is>
      </c>
      <c r="F471" s="9" t="inlineStr">
        <is>
          <t>Harrison</t>
        </is>
      </c>
      <c r="G471" s="9" t="inlineStr">
        <is>
          <t>5809 Highway 58</t>
        </is>
      </c>
      <c r="H471" s="9" t="inlineStr">
        <is>
          <t>37341</t>
        </is>
      </c>
      <c r="I471" s="9" t="n"/>
      <c r="J471" s="9" t="inlineStr">
        <is>
          <t>takeittohydes.com</t>
        </is>
      </c>
      <c r="K471" s="10" t="n"/>
      <c r="L471" s="10" t="n"/>
      <c r="M471" s="10" t="n"/>
      <c r="N471" s="10" t="n"/>
      <c r="O471" s="9" t="inlineStr">
        <is>
          <t>NEW LEAD. Business-run page: Harrison address, phone and website confirmed. They also run a Hixson shop and offer towing, but only the Harrison address was published.</t>
        </is>
      </c>
    </row>
    <row r="472">
      <c r="A472" s="13" t="inlineStr">
        <is>
          <t>B</t>
        </is>
      </c>
      <c r="B472" s="9" t="inlineStr">
        <is>
          <t>Not phone re-checked</t>
        </is>
      </c>
      <c r="C472" s="9" t="inlineStr">
        <is>
          <t>IAA (Insurance Auto Auctions) Chattanooga</t>
        </is>
      </c>
      <c r="D472" s="9" t="inlineStr">
        <is>
          <t>Vehicle Auction (Salvage)</t>
        </is>
      </c>
      <c r="E472" s="9" t="inlineStr">
        <is>
          <t>(423) 624-2102</t>
        </is>
      </c>
      <c r="F472" s="9" t="inlineStr">
        <is>
          <t>Chattanooga</t>
        </is>
      </c>
      <c r="G472" s="9" t="inlineStr">
        <is>
          <t>2801 Asbury Park St</t>
        </is>
      </c>
      <c r="H472" s="9" t="inlineStr">
        <is>
          <t>37404</t>
        </is>
      </c>
      <c r="I472" s="9" t="n"/>
      <c r="J472" s="9" t="inlineStr">
        <is>
          <t>iaai.com</t>
        </is>
      </c>
      <c r="K472" s="10" t="n"/>
      <c r="L472" s="10" t="n"/>
      <c r="M472" s="10" t="n"/>
      <c r="N472" s="10" t="n"/>
      <c r="O472" s="9" t="inlineStr">
        <is>
          <t>verified iaai.com/Locations/752 live</t>
        </is>
      </c>
    </row>
    <row r="473">
      <c r="A473" s="13" t="inlineStr">
        <is>
          <t>B</t>
        </is>
      </c>
      <c r="B473" s="9" t="inlineStr">
        <is>
          <t>Not phone re-checked</t>
        </is>
      </c>
      <c r="C473" s="9" t="inlineStr">
        <is>
          <t>Instant Sign Service</t>
        </is>
      </c>
      <c r="D473" s="9" t="inlineStr">
        <is>
          <t>Sign Manufacture &amp; Installation</t>
        </is>
      </c>
      <c r="E473" s="9" t="inlineStr">
        <is>
          <t>(423) 876-9400</t>
        </is>
      </c>
      <c r="F473" s="9" t="inlineStr">
        <is>
          <t>Hixson</t>
        </is>
      </c>
      <c r="G473" s="9" t="inlineStr">
        <is>
          <t>5503 Highway 153</t>
        </is>
      </c>
      <c r="H473" s="9" t="inlineStr">
        <is>
          <t>37343</t>
        </is>
      </c>
      <c r="I473" s="9" t="n"/>
      <c r="J473" s="9" t="n"/>
      <c r="K473" s="10" t="n"/>
      <c r="L473" s="10" t="n"/>
      <c r="M473" s="10" t="n"/>
      <c r="N473" s="10" t="n"/>
      <c r="O473" s="9" t="inlineStr">
        <is>
          <t>Gap-filled 2026-09-04: no official website - the 'site' listings show is a hub.biz directory page. Phone and address confirmed unchanged. Sign fitters run bucket trucks and install vans; note the second Lee Highway shop, which may be a separate lead.</t>
        </is>
      </c>
    </row>
    <row r="474">
      <c r="A474" s="13" t="inlineStr">
        <is>
          <t>B</t>
        </is>
      </c>
      <c r="B474" s="9" t="inlineStr">
        <is>
          <t>Not phone re-checked</t>
        </is>
      </c>
      <c r="C474" s="9" t="inlineStr">
        <is>
          <t>J&amp;J Contractors Inc.</t>
        </is>
      </c>
      <c r="D474" s="9" t="inlineStr">
        <is>
          <t>General Contractor</t>
        </is>
      </c>
      <c r="E474" s="9" t="inlineStr">
        <is>
          <t>(423) 265-3233</t>
        </is>
      </c>
      <c r="F474" s="9" t="inlineStr">
        <is>
          <t>Chattanooga</t>
        </is>
      </c>
      <c r="G474" s="9" t="inlineStr">
        <is>
          <t>700 W Main St</t>
        </is>
      </c>
      <c r="H474" s="9" t="inlineStr">
        <is>
          <t>37402</t>
        </is>
      </c>
      <c r="I474" s="9" t="n"/>
      <c r="J474" s="9" t="inlineStr">
        <is>
          <t>jjcontractors.com</t>
        </is>
      </c>
      <c r="K474" s="10" t="n"/>
      <c r="L474" s="10" t="n"/>
      <c r="M474" s="10" t="n"/>
      <c r="N474" s="10" t="n"/>
      <c r="O474" s="9" t="inlineStr">
        <is>
          <t>found website; est 1972</t>
        </is>
      </c>
    </row>
    <row r="475">
      <c r="A475" s="13" t="inlineStr">
        <is>
          <t>B</t>
        </is>
      </c>
      <c r="B475" s="9" t="inlineStr">
        <is>
          <t>Not phone re-checked</t>
        </is>
      </c>
      <c r="C475" s="9" t="inlineStr">
        <is>
          <t>J&amp;J Electrical Contracting</t>
        </is>
      </c>
      <c r="D475" s="9" t="inlineStr">
        <is>
          <t>Electrical Contractor</t>
        </is>
      </c>
      <c r="E475" s="9" t="inlineStr">
        <is>
          <t>(423) 595-1107</t>
        </is>
      </c>
      <c r="F475" s="9" t="inlineStr">
        <is>
          <t>Chattanooga</t>
        </is>
      </c>
      <c r="G475" s="9" t="inlineStr">
        <is>
          <t>3429 Lightfoot Mill Rd</t>
        </is>
      </c>
      <c r="H475" s="9" t="inlineStr">
        <is>
          <t>37406</t>
        </is>
      </c>
      <c r="I475" s="9" t="n"/>
      <c r="J475" s="9" t="inlineStr">
        <is>
          <t>jandjelectricalcontracting.com</t>
        </is>
      </c>
      <c r="K475" s="10" t="n"/>
      <c r="L475" s="10" t="n"/>
      <c r="M475" s="10" t="n"/>
      <c r="N475" s="10" t="n"/>
      <c r="O475" s="9" t="inlineStr">
        <is>
          <t>verified jandjelectricalcontracting.com live</t>
        </is>
      </c>
    </row>
    <row r="476">
      <c r="A476" s="13" t="inlineStr">
        <is>
          <t>B</t>
        </is>
      </c>
      <c r="B476" s="9" t="inlineStr">
        <is>
          <t>Not phone re-checked</t>
        </is>
      </c>
      <c r="C476" s="9" t="inlineStr">
        <is>
          <t>J.P Landscaping and Excavation</t>
        </is>
      </c>
      <c r="D476" s="9" t="inlineStr">
        <is>
          <t>Landscaping / Excavation</t>
        </is>
      </c>
      <c r="E476" s="9" t="inlineStr">
        <is>
          <t>(423) 883-0720</t>
        </is>
      </c>
      <c r="F476" s="9" t="inlineStr">
        <is>
          <t>Harrison</t>
        </is>
      </c>
      <c r="G476" s="9" t="inlineStr">
        <is>
          <t>8236 Harrison Bay Rd</t>
        </is>
      </c>
      <c r="H476" s="9" t="inlineStr">
        <is>
          <t>37341</t>
        </is>
      </c>
      <c r="I476" s="9" t="n"/>
      <c r="J476" s="9" t="inlineStr">
        <is>
          <t>jplandscapingandexcavation.com</t>
        </is>
      </c>
      <c r="K476" s="10" t="n"/>
      <c r="L476" s="10" t="n"/>
      <c r="M476" s="10" t="n"/>
      <c r="N476" s="10" t="n"/>
      <c r="O476" s="9" t="inlineStr">
        <is>
          <t>found website</t>
        </is>
      </c>
    </row>
    <row r="477">
      <c r="A477" s="13" t="inlineStr">
        <is>
          <t>B</t>
        </is>
      </c>
      <c r="B477" s="9" t="inlineStr">
        <is>
          <t>Not phone re-checked</t>
        </is>
      </c>
      <c r="C477" s="9" t="inlineStr">
        <is>
          <t>Kenco Group</t>
        </is>
      </c>
      <c r="D477" s="9" t="inlineStr">
        <is>
          <t>Logistics / 3PL / Fleet Management</t>
        </is>
      </c>
      <c r="E477" s="9" t="inlineStr">
        <is>
          <t>(423) 265-7189</t>
        </is>
      </c>
      <c r="F477" s="9" t="inlineStr">
        <is>
          <t>Chattanooga</t>
        </is>
      </c>
      <c r="G477" s="9" t="inlineStr">
        <is>
          <t>2001 Riverside Dr</t>
        </is>
      </c>
      <c r="H477" s="9" t="inlineStr">
        <is>
          <t>37406</t>
        </is>
      </c>
      <c r="I477" s="9" t="inlineStr">
        <is>
          <t>mktg@kencogroup.com</t>
        </is>
      </c>
      <c r="J477" s="9" t="inlineStr">
        <is>
          <t>kencogroup.com</t>
        </is>
      </c>
      <c r="K477" s="10" t="n"/>
      <c r="L477" s="10" t="n"/>
      <c r="M477" s="10" t="n"/>
      <c r="N477" s="10" t="n"/>
      <c r="O477" s="9" t="inlineStr">
        <is>
          <t>verified kencogroup.com live</t>
        </is>
      </c>
    </row>
    <row r="478">
      <c r="A478" s="13" t="inlineStr">
        <is>
          <t>B</t>
        </is>
      </c>
      <c r="B478" s="9" t="inlineStr">
        <is>
          <t>Not phone re-checked</t>
        </is>
      </c>
      <c r="C478" s="9" t="inlineStr">
        <is>
          <t>Koala Insulation of Chattanooga</t>
        </is>
      </c>
      <c r="D478" s="9" t="inlineStr">
        <is>
          <t>Insulation Contractor</t>
        </is>
      </c>
      <c r="E478" s="9" t="inlineStr">
        <is>
          <t>(423) 225-7308</t>
        </is>
      </c>
      <c r="F478" s="9" t="inlineStr">
        <is>
          <t>Soddy-Daisy</t>
        </is>
      </c>
      <c r="G478" s="9" t="n"/>
      <c r="H478" s="9" t="inlineStr">
        <is>
          <t>37379</t>
        </is>
      </c>
      <c r="I478" s="9" t="n"/>
      <c r="J478" s="9" t="inlineStr">
        <is>
          <t>koalainsulation.com/chattanooga</t>
        </is>
      </c>
      <c r="K478" s="10" t="n"/>
      <c r="L478" s="10" t="n"/>
      <c r="M478" s="10" t="n"/>
      <c r="N478" s="10" t="n"/>
      <c r="O478" s="9" t="inlineStr">
        <is>
          <t>Insulation crews run box trucks with blowing rigs across a service area stretching from Whitwell to Cleveland - long daily mileage for a small franchise. The Chattanooga pages publish no street address, so the record's Gulf View Drive is left off. No email; they use a form.</t>
        </is>
      </c>
    </row>
    <row r="479">
      <c r="A479" s="13" t="inlineStr">
        <is>
          <t>B</t>
        </is>
      </c>
      <c r="B479" s="9" t="inlineStr">
        <is>
          <t>Not phone re-checked</t>
        </is>
      </c>
      <c r="C479" s="9" t="inlineStr">
        <is>
          <t>Legacy Funeral Home &amp; Cremation Center</t>
        </is>
      </c>
      <c r="D479" s="9" t="inlineStr">
        <is>
          <t>Funeral Home</t>
        </is>
      </c>
      <c r="E479" s="9" t="inlineStr">
        <is>
          <t>(423) 843-2525</t>
        </is>
      </c>
      <c r="F479" s="9" t="inlineStr">
        <is>
          <t>Soddy-Daisy</t>
        </is>
      </c>
      <c r="G479" s="9" t="inlineStr">
        <is>
          <t>8911 Dallas Hollow Rd</t>
        </is>
      </c>
      <c r="H479" s="9" t="inlineStr">
        <is>
          <t>37379</t>
        </is>
      </c>
      <c r="I479" s="9" t="n"/>
      <c r="J479" s="9" t="inlineStr">
        <is>
          <t>legacyfuneralhome.com</t>
        </is>
      </c>
      <c r="K479" s="10" t="n"/>
      <c r="L479" s="10" t="n"/>
      <c r="M479" s="10" t="n"/>
      <c r="N479" s="10" t="n"/>
      <c r="O479" s="9" t="inlineStr">
        <is>
          <t>Gap-filled 2026-09-04: website added, and the phone and address already in the row were confirmed unchanged. Funeral homes run hearses and limousines - low mileage but high-value glass, and they cannot have a chipped screen on a procession.</t>
        </is>
      </c>
    </row>
    <row r="480">
      <c r="A480" s="13" t="inlineStr">
        <is>
          <t>B</t>
        </is>
      </c>
      <c r="B480" s="9" t="inlineStr">
        <is>
          <t>Not phone re-checked</t>
        </is>
      </c>
      <c r="C480" s="9" t="inlineStr">
        <is>
          <t>Maples Automotive</t>
        </is>
      </c>
      <c r="D480" s="9" t="inlineStr">
        <is>
          <t>Auto Repair</t>
        </is>
      </c>
      <c r="E480" s="9" t="inlineStr">
        <is>
          <t>(423) 596-9384</t>
        </is>
      </c>
      <c r="F480" s="9" t="inlineStr">
        <is>
          <t>Signal Mountain</t>
        </is>
      </c>
      <c r="G480" s="9" t="inlineStr">
        <is>
          <t>462 Miller Rd</t>
        </is>
      </c>
      <c r="H480" s="9" t="inlineStr">
        <is>
          <t>37377</t>
        </is>
      </c>
      <c r="I480" s="9" t="n"/>
      <c r="J480" s="9" t="inlineStr">
        <is>
          <t>maplesauto.com</t>
        </is>
      </c>
      <c r="K480" s="10" t="n"/>
      <c r="L480" s="10" t="n"/>
      <c r="M480" s="10" t="n"/>
      <c r="N480" s="10" t="n"/>
      <c r="O480" s="9" t="inlineStr">
        <is>
          <t>Gap-filled 2026-09-04: website added, phone and address already in the row confirmed unchanged.</t>
        </is>
      </c>
    </row>
    <row r="481">
      <c r="A481" s="13" t="inlineStr">
        <is>
          <t>B</t>
        </is>
      </c>
      <c r="B481" s="9" t="inlineStr">
        <is>
          <t>Not phone re-checked</t>
        </is>
      </c>
      <c r="C481" s="9" t="inlineStr">
        <is>
          <t>MarineMax Chattanooga</t>
        </is>
      </c>
      <c r="D481" s="9" t="inlineStr">
        <is>
          <t>Boat Dealer / Marine Service</t>
        </is>
      </c>
      <c r="E481" s="9" t="inlineStr">
        <is>
          <t>(423) 266-1316</t>
        </is>
      </c>
      <c r="F481" s="9" t="inlineStr">
        <is>
          <t>Chattanooga</t>
        </is>
      </c>
      <c r="G481" s="9" t="inlineStr">
        <is>
          <t>201 Riverfront Pkwy</t>
        </is>
      </c>
      <c r="H481" s="9" t="inlineStr">
        <is>
          <t>37402</t>
        </is>
      </c>
      <c r="I481" s="9" t="inlineStr">
        <is>
          <t>info@marinemax.com</t>
        </is>
      </c>
      <c r="J481" s="9" t="inlineStr">
        <is>
          <t>marinemax.com</t>
        </is>
      </c>
      <c r="K481" s="10" t="n"/>
      <c r="L481" s="10" t="n"/>
      <c r="M481" s="10" t="n"/>
      <c r="N481" s="10" t="n"/>
      <c r="O481" s="9" t="inlineStr">
        <is>
          <t>verified marinemax.com live</t>
        </is>
      </c>
    </row>
    <row r="482">
      <c r="A482" s="13" t="inlineStr">
        <is>
          <t>B</t>
        </is>
      </c>
      <c r="B482" s="9" t="inlineStr">
        <is>
          <t>Not phone re-checked</t>
        </is>
      </c>
      <c r="C482" s="9" t="inlineStr">
        <is>
          <t>Market on the Mountain</t>
        </is>
      </c>
      <c r="D482" s="9" t="inlineStr">
        <is>
          <t>Grocery / Specialty Market</t>
        </is>
      </c>
      <c r="E482" s="9" t="inlineStr">
        <is>
          <t>(423) 821-5150</t>
        </is>
      </c>
      <c r="F482" s="9" t="inlineStr">
        <is>
          <t>Lookout Mountain</t>
        </is>
      </c>
      <c r="G482" s="9" t="inlineStr">
        <is>
          <t>812 Scenic Hwy</t>
        </is>
      </c>
      <c r="H482" s="9" t="inlineStr">
        <is>
          <t>37350</t>
        </is>
      </c>
      <c r="I482" s="9" t="inlineStr">
        <is>
          <t>marketonthemtn@gmail.com</t>
        </is>
      </c>
      <c r="J482" s="9" t="inlineStr">
        <is>
          <t>mountain-market.com</t>
        </is>
      </c>
      <c r="K482" s="10" t="n"/>
      <c r="L482" s="10" t="n"/>
      <c r="M482" s="10" t="n"/>
      <c r="N482" s="10" t="n"/>
      <c r="O482" s="9" t="inlineStr">
        <is>
          <t>Gap-filled 2026-09-04: website added and the phone confirmed unchanged. One discrepancy left alone deliberately - this row says 812 Scenic Hwy while some listings say 123 Scenic Hwy. The row's address came from an earlier verification against the business itself, so it is kept; worth confirming on the call.</t>
        </is>
      </c>
    </row>
    <row r="483">
      <c r="A483" s="13" t="inlineStr">
        <is>
          <t>B</t>
        </is>
      </c>
      <c r="B483" s="9" t="inlineStr">
        <is>
          <t>Not phone re-checked</t>
        </is>
      </c>
      <c r="C483" s="9" t="inlineStr">
        <is>
          <t>Masonry Specialist Corporation</t>
        </is>
      </c>
      <c r="D483" s="9" t="inlineStr">
        <is>
          <t>Masonry</t>
        </is>
      </c>
      <c r="E483" s="9" t="inlineStr">
        <is>
          <t>(423) 622-2745</t>
        </is>
      </c>
      <c r="F483" s="9" t="inlineStr">
        <is>
          <t>Chattanooga</t>
        </is>
      </c>
      <c r="G483" s="9" t="inlineStr">
        <is>
          <t>1417 Choate Rd</t>
        </is>
      </c>
      <c r="H483" s="9" t="inlineStr">
        <is>
          <t>37412</t>
        </is>
      </c>
      <c r="I483" s="9" t="n"/>
      <c r="J483" s="9" t="n"/>
      <c r="K483" s="10" t="n"/>
      <c r="L483" s="10" t="n"/>
      <c r="M483" s="10" t="n"/>
      <c r="N483" s="10" t="n"/>
      <c r="O483" s="9" t="inlineStr">
        <is>
          <t>Gap-filled 2026-09-04: no official website - the 'website' some directories show is just a Manta listing, which is not one. Phone and address already in the row were confirmed unchanged.</t>
        </is>
      </c>
    </row>
    <row r="484">
      <c r="A484" s="13" t="inlineStr">
        <is>
          <t>B</t>
        </is>
      </c>
      <c r="B484" s="9" t="inlineStr">
        <is>
          <t>Not phone re-checked</t>
        </is>
      </c>
      <c r="C484" s="9" t="inlineStr">
        <is>
          <t>Max Trans Logistics</t>
        </is>
      </c>
      <c r="D484" s="9" t="inlineStr">
        <is>
          <t>Third-Party Logistics / Truckload Brokerage</t>
        </is>
      </c>
      <c r="E484" s="9" t="inlineStr">
        <is>
          <t>(423) 362-7210</t>
        </is>
      </c>
      <c r="F484" s="9" t="inlineStr">
        <is>
          <t>Chattanooga</t>
        </is>
      </c>
      <c r="G484" s="9" t="n"/>
      <c r="H484" s="9" t="n"/>
      <c r="I484" s="9" t="n"/>
      <c r="J484" s="9" t="inlineStr">
        <is>
          <t>maxtranslogistics.com</t>
        </is>
      </c>
      <c r="K484" s="10" t="n"/>
      <c r="L484" s="10" t="n"/>
      <c r="M484" s="10" t="n"/>
      <c r="N484" s="10" t="n"/>
      <c r="O484" s="9" t="inlineStr">
        <is>
          <t>Part of the GUIDEON GROUP, also on this list - the 423-362-7210 number appears on both sites. Mostly a broker using partner carriers, so their own truck count is likely small. Talk to GuideOn instead for the asset fleet.</t>
        </is>
      </c>
    </row>
    <row r="485">
      <c r="A485" s="13" t="inlineStr">
        <is>
          <t>B</t>
        </is>
      </c>
      <c r="B485" s="9" t="inlineStr">
        <is>
          <t>Not phone re-checked</t>
        </is>
      </c>
      <c r="C485" s="9" t="inlineStr">
        <is>
          <t>Maxi Auto Service</t>
        </is>
      </c>
      <c r="D485" s="9" t="inlineStr">
        <is>
          <t>Auto Repair Shop</t>
        </is>
      </c>
      <c r="E485" s="9" t="inlineStr">
        <is>
          <t>(423) 265-0834</t>
        </is>
      </c>
      <c r="F485" s="9" t="inlineStr">
        <is>
          <t>Chattanooga</t>
        </is>
      </c>
      <c r="G485" s="9" t="inlineStr">
        <is>
          <t>3540 Broad St</t>
        </is>
      </c>
      <c r="H485" s="9" t="inlineStr">
        <is>
          <t>37409</t>
        </is>
      </c>
      <c r="I485" s="9" t="n"/>
      <c r="J485" s="9" t="inlineStr">
        <is>
          <t>maxicarcarebroadst.com</t>
        </is>
      </c>
      <c r="K485" s="10" t="n"/>
      <c r="L485" s="10" t="n"/>
      <c r="M485" s="10" t="n"/>
      <c r="N485" s="10" t="n"/>
      <c r="O485" s="9" t="inlineStr">
        <is>
          <t>CORRECTED website: maxicarcare.com wrong; Broad St site is maxicarcarebroadst.com</t>
        </is>
      </c>
    </row>
    <row r="486">
      <c r="A486" s="13" t="inlineStr">
        <is>
          <t>B</t>
        </is>
      </c>
      <c r="B486" s="9" t="inlineStr">
        <is>
          <t>Not phone re-checked</t>
        </is>
      </c>
      <c r="C486" s="9" t="inlineStr">
        <is>
          <t>MEG Controls</t>
        </is>
      </c>
      <c r="D486" s="9" t="inlineStr">
        <is>
          <t>Building Automation &amp; Controls</t>
        </is>
      </c>
      <c r="E486" s="9" t="inlineStr">
        <is>
          <t>(423) 624-0202</t>
        </is>
      </c>
      <c r="F486" s="9" t="inlineStr">
        <is>
          <t>Chattanooga</t>
        </is>
      </c>
      <c r="G486" s="9" t="inlineStr">
        <is>
          <t>949 Taft Avenue</t>
        </is>
      </c>
      <c r="H486" s="9" t="inlineStr">
        <is>
          <t>37408</t>
        </is>
      </c>
      <c r="I486" s="9" t="inlineStr">
        <is>
          <t>info@megcontrols.com</t>
        </is>
      </c>
      <c r="J486" s="9" t="inlineStr">
        <is>
          <t>megcontrols.com</t>
        </is>
      </c>
      <c r="K486" s="10" t="n"/>
      <c r="L486" s="10" t="n"/>
      <c r="M486" s="10" t="n"/>
      <c r="N486" s="10" t="n"/>
      <c r="O486" s="9" t="inlineStr">
        <is>
          <t>Building automation system provider - controls techs drive to commercial sites, so a small van fleet. Full contact set published, which is unusual for this queue.</t>
        </is>
      </c>
    </row>
    <row r="487">
      <c r="A487" s="13" t="inlineStr">
        <is>
          <t>B</t>
        </is>
      </c>
      <c r="B487" s="9" t="inlineStr">
        <is>
          <t>Not phone re-checked</t>
        </is>
      </c>
      <c r="C487" s="9" t="inlineStr">
        <is>
          <t>MEI/AQUA TREAT, INC.</t>
        </is>
      </c>
      <c r="D487" s="9" t="inlineStr">
        <is>
          <t>Water Treatment</t>
        </is>
      </c>
      <c r="E487" s="9" t="inlineStr">
        <is>
          <t>(423) 499-4919</t>
        </is>
      </c>
      <c r="F487" s="9" t="inlineStr">
        <is>
          <t>Chattanooga</t>
        </is>
      </c>
      <c r="G487" s="9" t="inlineStr">
        <is>
          <t>115 Parmenas Lane</t>
        </is>
      </c>
      <c r="H487" s="9" t="n"/>
      <c r="I487" s="9" t="n"/>
      <c r="J487" s="9" t="inlineStr">
        <is>
          <t>aquatreat.net</t>
        </is>
      </c>
      <c r="K487" s="10" t="n"/>
      <c r="L487" s="10" t="n"/>
      <c r="M487" s="10" t="n"/>
      <c r="N487" s="10" t="n"/>
      <c r="O487" s="9" t="inlineStr">
        <is>
          <t>Gap-filled 2026-09-04: phone and address added - this row previously had only a website. A second address and number circulate, 617 Hudson Rd on (423) 265-0132, so try the other if this one fails. Worth noting 115 Parmenas Lane is also Marion Environmental's address, a row still unreachable from the Vibe queue - so one visit might reach both.</t>
        </is>
      </c>
    </row>
    <row r="488">
      <c r="A488" s="13" t="inlineStr">
        <is>
          <t>B</t>
        </is>
      </c>
      <c r="B488" s="9" t="inlineStr">
        <is>
          <t>Not phone re-checked</t>
        </is>
      </c>
      <c r="C488" s="9" t="inlineStr">
        <is>
          <t>Metro Services Inc.</t>
        </is>
      </c>
      <c r="D488" s="9" t="inlineStr">
        <is>
          <t>HVAC / Combustion Engineering</t>
        </is>
      </c>
      <c r="E488" s="9" t="inlineStr">
        <is>
          <t>(423) 870-5558</t>
        </is>
      </c>
      <c r="F488" s="9" t="inlineStr">
        <is>
          <t>Chattanooga</t>
        </is>
      </c>
      <c r="G488" s="9" t="inlineStr">
        <is>
          <t>4470 Pinnacle Ln</t>
        </is>
      </c>
      <c r="H488" s="9" t="n"/>
      <c r="I488" s="9" t="n"/>
      <c r="J488" s="9" t="inlineStr">
        <is>
          <t>metroservicesinc.com</t>
        </is>
      </c>
      <c r="K488" s="10" t="n"/>
      <c r="L488" s="10" t="n"/>
      <c r="M488" s="10" t="n"/>
      <c r="N488" s="10" t="n"/>
      <c r="O488" s="9" t="inlineStr">
        <is>
          <t>verified metroservicesinc.com live</t>
        </is>
      </c>
    </row>
    <row r="489">
      <c r="A489" s="13" t="inlineStr">
        <is>
          <t>B</t>
        </is>
      </c>
      <c r="B489" s="9" t="inlineStr">
        <is>
          <t>Not phone re-checked</t>
        </is>
      </c>
      <c r="C489" s="9" t="inlineStr">
        <is>
          <t>Miracle Method Surface Refinishing of Chattanooga</t>
        </is>
      </c>
      <c r="D489" s="9" t="inlineStr">
        <is>
          <t>Surface Refinishing</t>
        </is>
      </c>
      <c r="E489" s="9" t="inlineStr">
        <is>
          <t>(423) 464-4220</t>
        </is>
      </c>
      <c r="F489" s="9" t="inlineStr">
        <is>
          <t>Chattanooga</t>
        </is>
      </c>
      <c r="G489" s="9" t="inlineStr">
        <is>
          <t>2600 East 30th Street</t>
        </is>
      </c>
      <c r="H489" s="9" t="inlineStr">
        <is>
          <t>37407</t>
        </is>
      </c>
      <c r="I489" s="9" t="n"/>
      <c r="J489" s="9" t="inlineStr">
        <is>
          <t>miraclemethod.com/chattanooga</t>
        </is>
      </c>
      <c r="K489" s="10" t="n"/>
      <c r="L489" s="10" t="n"/>
      <c r="M489" s="10" t="n"/>
      <c r="N489" s="10" t="n"/>
      <c r="O489" s="9" t="inlineStr">
        <is>
          <t>Refinishing crews travel to homes and commercial jobs in vans. Ask for Gabriel Gilliam, the commercial project manager, on (423) 226-3378 - that is the number their own commercial page gives. The site says East 30th Street in 37407, correcting the record's East 30th Avenue and 37402.</t>
        </is>
      </c>
    </row>
    <row r="490">
      <c r="A490" s="13" t="inlineStr">
        <is>
          <t>B</t>
        </is>
      </c>
      <c r="B490" s="9" t="inlineStr">
        <is>
          <t>Not phone re-checked</t>
        </is>
      </c>
      <c r="C490" s="9" t="inlineStr">
        <is>
          <t>Monolith Landscape Design</t>
        </is>
      </c>
      <c r="D490" s="9" t="inlineStr">
        <is>
          <t>Landscape Design &amp; Irrigation</t>
        </is>
      </c>
      <c r="E490" s="9" t="inlineStr">
        <is>
          <t>(423) 414-4912</t>
        </is>
      </c>
      <c r="F490" s="9" t="inlineStr">
        <is>
          <t>Chattanooga</t>
        </is>
      </c>
      <c r="G490" s="9" t="n"/>
      <c r="H490" s="9" t="inlineStr">
        <is>
          <t>37415</t>
        </is>
      </c>
      <c r="I490" s="9" t="inlineStr">
        <is>
          <t>micah@monolithlandscapedesign.com</t>
        </is>
      </c>
      <c r="J490" s="9" t="inlineStr">
        <is>
          <t>monolithlandscapedesign.com</t>
        </is>
      </c>
      <c r="K490" s="10" t="n"/>
      <c r="L490" s="10" t="n"/>
      <c r="M490" s="10" t="n"/>
      <c r="N490" s="10" t="n"/>
      <c r="O490" s="9" t="inlineStr">
        <is>
          <t>Maintenance crews out weekly plus irrigation and lighting installs, so trucks and trailers on the road. Micah is the named contact. Their own site does not print a street address, so the record's 1915 Dayton Boulevard is left off.</t>
        </is>
      </c>
    </row>
    <row r="491">
      <c r="A491" s="13" t="inlineStr">
        <is>
          <t>B</t>
        </is>
      </c>
      <c r="B491" s="9" t="inlineStr">
        <is>
          <t>Not phone re-checked</t>
        </is>
      </c>
      <c r="C491" s="9" t="inlineStr">
        <is>
          <t>Morgan Alarm Systems</t>
        </is>
      </c>
      <c r="D491" s="9" t="inlineStr">
        <is>
          <t>Alarm / Security Installation</t>
        </is>
      </c>
      <c r="E491" s="9" t="inlineStr">
        <is>
          <t>(423) 332-2693</t>
        </is>
      </c>
      <c r="F491" s="9" t="inlineStr">
        <is>
          <t>Hixson</t>
        </is>
      </c>
      <c r="G491" s="9" t="inlineStr">
        <is>
          <t>1004 Holland Johnson Rd</t>
        </is>
      </c>
      <c r="H491" s="9" t="inlineStr">
        <is>
          <t>37343</t>
        </is>
      </c>
      <c r="I491" s="9" t="inlineStr">
        <is>
          <t>billing@morganalarmsystems.com</t>
        </is>
      </c>
      <c r="J491" s="9" t="inlineStr">
        <is>
          <t>morganalarmsystems.com</t>
        </is>
      </c>
      <c r="K491" s="10" t="n"/>
      <c r="L491" s="10" t="n"/>
      <c r="M491" s="10" t="n"/>
      <c r="N491" s="10" t="n"/>
      <c r="O491" s="9" t="inlineStr">
        <is>
          <t>verified morganalarmsystems.com live</t>
        </is>
      </c>
    </row>
    <row r="492">
      <c r="A492" s="13" t="inlineStr">
        <is>
          <t>B</t>
        </is>
      </c>
      <c r="B492" s="9" t="inlineStr">
        <is>
          <t>Not phone re-checked</t>
        </is>
      </c>
      <c r="C492" s="9" t="inlineStr">
        <is>
          <t>Morning Pointe of Hixson</t>
        </is>
      </c>
      <c r="D492" s="9" t="inlineStr">
        <is>
          <t>Assisted Living / Memory Care</t>
        </is>
      </c>
      <c r="E492" s="9" t="inlineStr">
        <is>
          <t>(423) 847-1370</t>
        </is>
      </c>
      <c r="F492" s="9" t="inlineStr">
        <is>
          <t>Hixson</t>
        </is>
      </c>
      <c r="G492" s="9" t="inlineStr">
        <is>
          <t>5501 Old Hixson Pike</t>
        </is>
      </c>
      <c r="H492" s="9" t="inlineStr">
        <is>
          <t>37343</t>
        </is>
      </c>
      <c r="I492" s="9" t="n"/>
      <c r="J492" s="9" t="inlineStr">
        <is>
          <t>morningpointe.com</t>
        </is>
      </c>
      <c r="K492" s="10" t="n"/>
      <c r="L492" s="10" t="n"/>
      <c r="M492" s="10" t="n"/>
      <c r="N492" s="10" t="n"/>
      <c r="O492" s="9" t="inlineStr">
        <is>
          <t>New lead. Community shuttle bus and van run residents to appointments. 78-resident capacity. Decisions may route through the Ooltewah corporate office - start with the executive director here.</t>
        </is>
      </c>
    </row>
    <row r="493">
      <c r="A493" s="13" t="inlineStr">
        <is>
          <t>B</t>
        </is>
      </c>
      <c r="B493" s="9" t="inlineStr">
        <is>
          <t>Not phone re-checked</t>
        </is>
      </c>
      <c r="C493" s="9" t="inlineStr">
        <is>
          <t>Mountain Service Imports</t>
        </is>
      </c>
      <c r="D493" s="9" t="inlineStr">
        <is>
          <t>Auto Repair</t>
        </is>
      </c>
      <c r="E493" s="9" t="inlineStr">
        <is>
          <t>(423) 886-2414</t>
        </is>
      </c>
      <c r="F493" s="9" t="inlineStr">
        <is>
          <t>Signal Mountain</t>
        </is>
      </c>
      <c r="G493" s="9" t="inlineStr">
        <is>
          <t>800 Signal Mountain Blvd</t>
        </is>
      </c>
      <c r="H493" s="9" t="inlineStr">
        <is>
          <t>37377</t>
        </is>
      </c>
      <c r="I493" s="9" t="inlineStr">
        <is>
          <t>mtnserviceimp@aol.com</t>
        </is>
      </c>
      <c r="J493" s="9" t="inlineStr">
        <is>
          <t>mountainserviceimports.net</t>
        </is>
      </c>
      <c r="K493" s="10" t="n"/>
      <c r="L493" s="10" t="n"/>
      <c r="M493" s="10" t="n"/>
      <c r="N493" s="10" t="n"/>
      <c r="O493" s="9" t="inlineStr">
        <is>
          <t>Business-run page: address, phone and email confirmed, and found their website. Specialises in BMW, Mini, Audi, VW, Mercedes, Honda and Toyota.</t>
        </is>
      </c>
    </row>
    <row r="494">
      <c r="A494" s="13" t="inlineStr">
        <is>
          <t>B</t>
        </is>
      </c>
      <c r="B494" s="9" t="inlineStr">
        <is>
          <t>Not phone re-checked</t>
        </is>
      </c>
      <c r="C494" s="9" t="inlineStr">
        <is>
          <t>Mr. Handyman of Chattanooga</t>
        </is>
      </c>
      <c r="D494" s="9" t="inlineStr">
        <is>
          <t>Handyman &amp; Property Maintenance</t>
        </is>
      </c>
      <c r="E494" s="9" t="inlineStr">
        <is>
          <t>(423) 405-7656</t>
        </is>
      </c>
      <c r="F494" s="9" t="inlineStr">
        <is>
          <t>Chattanooga</t>
        </is>
      </c>
      <c r="G494" s="9" t="inlineStr">
        <is>
          <t>5959 Shallowford Road Suite 219</t>
        </is>
      </c>
      <c r="H494" s="9" t="inlineStr">
        <is>
          <t>37421</t>
        </is>
      </c>
      <c r="I494" s="9" t="n"/>
      <c r="J494" s="9" t="inlineStr">
        <is>
          <t>mrhandyman.com/chattanooga</t>
        </is>
      </c>
      <c r="K494" s="10" t="n"/>
      <c r="L494" s="10" t="n"/>
      <c r="M494" s="10" t="n"/>
      <c r="N494" s="10" t="n"/>
      <c r="O494" s="9" t="inlineStr">
        <is>
          <t>Neighborly franchise running branded vans on residential and commercial calls daily, and they cover Cleveland TN as well - decent windshield volume for a small fleet. Franchise sites publish no email.</t>
        </is>
      </c>
    </row>
    <row r="495">
      <c r="A495" s="13" t="inlineStr">
        <is>
          <t>B</t>
        </is>
      </c>
      <c r="B495" s="9" t="inlineStr">
        <is>
          <t>Not phone re-checked</t>
        </is>
      </c>
      <c r="C495" s="9" t="inlineStr">
        <is>
          <t>Nooga Shuttles</t>
        </is>
      </c>
      <c r="D495" s="9" t="inlineStr">
        <is>
          <t>Shuttle / Charter Bus</t>
        </is>
      </c>
      <c r="E495" s="9" t="inlineStr">
        <is>
          <t>(423) 896-2555</t>
        </is>
      </c>
      <c r="F495" s="9" t="inlineStr">
        <is>
          <t>Chattanooga</t>
        </is>
      </c>
      <c r="G495" s="9" t="inlineStr">
        <is>
          <t>3515 St Elmo Ave</t>
        </is>
      </c>
      <c r="H495" s="9" t="inlineStr">
        <is>
          <t>37409</t>
        </is>
      </c>
      <c r="I495" s="9" t="inlineStr">
        <is>
          <t>sales@noogashuttles.com</t>
        </is>
      </c>
      <c r="J495" s="9" t="inlineStr">
        <is>
          <t>noogashuttles.com</t>
        </is>
      </c>
      <c r="K495" s="10" t="n"/>
      <c r="L495" s="10" t="n"/>
      <c r="M495" s="10" t="n"/>
      <c r="N495" s="10" t="n"/>
      <c r="O495" s="9" t="inlineStr">
        <is>
          <t>verified noogashuttles.com live; email confirmed</t>
        </is>
      </c>
    </row>
    <row r="496">
      <c r="A496" s="13" t="inlineStr">
        <is>
          <t>B</t>
        </is>
      </c>
      <c r="B496" s="9" t="inlineStr">
        <is>
          <t>Not phone re-checked</t>
        </is>
      </c>
      <c r="C496" s="9" t="inlineStr">
        <is>
          <t>Nooga Strong Construction</t>
        </is>
      </c>
      <c r="D496" s="9" t="inlineStr">
        <is>
          <t>Remodeling Contractor</t>
        </is>
      </c>
      <c r="E496" s="9" t="inlineStr">
        <is>
          <t>(423) 455-5461</t>
        </is>
      </c>
      <c r="F496" s="9" t="inlineStr">
        <is>
          <t>Chattanooga</t>
        </is>
      </c>
      <c r="G496" s="9" t="n"/>
      <c r="H496" s="9" t="inlineStr">
        <is>
          <t>37411</t>
        </is>
      </c>
      <c r="I496" s="9" t="n"/>
      <c r="J496" s="9" t="inlineStr">
        <is>
          <t>buildnoogastrong.com</t>
        </is>
      </c>
      <c r="K496" s="10" t="n"/>
      <c r="L496" s="10" t="n"/>
      <c r="M496" s="10" t="n"/>
      <c r="N496" s="10" t="n"/>
      <c r="O496" s="9" t="inlineStr">
        <is>
          <t>Design-build remodeler running crew trucks to job sites. The 51-200 headcount on the record looks inflated for a remodeler with one office. Two searches would not surface a street address or email, so the record's 3711 Provence Street is left off.</t>
        </is>
      </c>
    </row>
    <row r="497">
      <c r="A497" s="13" t="inlineStr">
        <is>
          <t>B</t>
        </is>
      </c>
      <c r="B497" s="9" t="inlineStr">
        <is>
          <t>Not phone re-checked</t>
        </is>
      </c>
      <c r="C497" s="9" t="inlineStr">
        <is>
          <t>Oasis Glass Tinting</t>
        </is>
      </c>
      <c r="D497" s="9" t="inlineStr">
        <is>
          <t>Window Tinting &amp; Glass Film</t>
        </is>
      </c>
      <c r="E497" s="9" t="inlineStr">
        <is>
          <t>(423) 892-7604</t>
        </is>
      </c>
      <c r="F497" s="9" t="inlineStr">
        <is>
          <t>Chattanooga</t>
        </is>
      </c>
      <c r="G497" s="9" t="inlineStr">
        <is>
          <t>2114 Chapman Road</t>
        </is>
      </c>
      <c r="H497" s="9" t="inlineStr">
        <is>
          <t>37421</t>
        </is>
      </c>
      <c r="I497" s="9" t="inlineStr">
        <is>
          <t>oasisglasstint@aol.com</t>
        </is>
      </c>
      <c r="J497" s="9" t="inlineStr">
        <is>
          <t>oasisglasstinting.com</t>
        </is>
      </c>
      <c r="K497" s="10" t="n"/>
      <c r="L497" s="10" t="n"/>
      <c r="M497" s="10" t="n"/>
      <c r="N497" s="10" t="n"/>
      <c r="O497" s="9" t="inlineStr">
        <is>
          <t>Not a fleet lead - it is a tint shop, so treat it as a referral partner. They tint, you do glass, and the two jobs land on the same vehicles; worth a call on that basis alone. One caution: the root domain now shows an Epik 'for sale' page while the inner pages still serve, so confirm they are trading before counting on them.</t>
        </is>
      </c>
    </row>
    <row r="498">
      <c r="A498" s="13" t="inlineStr">
        <is>
          <t>B</t>
        </is>
      </c>
      <c r="B498" s="9" t="inlineStr">
        <is>
          <t>Not phone re-checked</t>
        </is>
      </c>
      <c r="C498" s="9" t="inlineStr">
        <is>
          <t>Office Pride Commercial Cleaning of Chattanooga</t>
        </is>
      </c>
      <c r="D498" s="9" t="inlineStr">
        <is>
          <t>Commercial Cleaning &amp; Janitorial</t>
        </is>
      </c>
      <c r="E498" s="9" t="inlineStr">
        <is>
          <t>(423) 531-8311</t>
        </is>
      </c>
      <c r="F498" s="9" t="inlineStr">
        <is>
          <t>Chattanooga</t>
        </is>
      </c>
      <c r="G498" s="9" t="n"/>
      <c r="H498" s="9" t="inlineStr">
        <is>
          <t>37416</t>
        </is>
      </c>
      <c r="I498" s="9" t="n"/>
      <c r="J498" s="9" t="inlineStr">
        <is>
          <t>officepride.com/chattanooga-lake-hills</t>
        </is>
      </c>
      <c r="K498" s="10" t="n"/>
      <c r="L498" s="10" t="n"/>
      <c r="M498" s="10" t="n"/>
      <c r="N498" s="10" t="n"/>
      <c r="O498" s="9" t="inlineStr">
        <is>
          <t>Franchise cleaning crews driving between commercial accounts across east Hamilton County and into Bradley County. The location page publishes no street address, so the record's 6130 Preservation Drive Suite B is left off. No email - franchise sites use a quote form.</t>
        </is>
      </c>
    </row>
    <row r="499">
      <c r="A499" s="13" t="inlineStr">
        <is>
          <t>B</t>
        </is>
      </c>
      <c r="B499" s="9" t="inlineStr">
        <is>
          <t>Not phone re-checked</t>
        </is>
      </c>
      <c r="C499" s="9" t="inlineStr">
        <is>
          <t>On The Spot Facility Services LLC</t>
        </is>
      </c>
      <c r="D499" s="9" t="inlineStr">
        <is>
          <t>Commercial Janitorial / Floor Care</t>
        </is>
      </c>
      <c r="E499" s="9" t="inlineStr">
        <is>
          <t>(423) 902-7768</t>
        </is>
      </c>
      <c r="F499" s="9" t="inlineStr">
        <is>
          <t>Chattanooga</t>
        </is>
      </c>
      <c r="G499" s="9" t="inlineStr">
        <is>
          <t>910 Creekside Rd D25</t>
        </is>
      </c>
      <c r="H499" s="9" t="inlineStr">
        <is>
          <t>37406</t>
        </is>
      </c>
      <c r="I499" s="9" t="n"/>
      <c r="J499" s="9" t="inlineStr">
        <is>
          <t>onthespotfacilityservices.com</t>
        </is>
      </c>
      <c r="K499" s="10" t="n"/>
      <c r="L499" s="10" t="n"/>
      <c r="M499" s="10" t="n"/>
      <c r="N499" s="10" t="n"/>
      <c r="O499" s="9" t="inlineStr">
        <is>
          <t>New lead. Night crews drive between accounts across the county. No email published.</t>
        </is>
      </c>
    </row>
    <row r="500">
      <c r="A500" s="13" t="inlineStr">
        <is>
          <t>B</t>
        </is>
      </c>
      <c r="B500" s="9" t="inlineStr">
        <is>
          <t>Not phone re-checked</t>
        </is>
      </c>
      <c r="C500" s="9" t="inlineStr">
        <is>
          <t>Ortwein Sign Company</t>
        </is>
      </c>
      <c r="D500" s="9" t="inlineStr">
        <is>
          <t>Sign Company / Manufacturing</t>
        </is>
      </c>
      <c r="E500" s="9" t="inlineStr">
        <is>
          <t>(423) 867-9208</t>
        </is>
      </c>
      <c r="F500" s="9" t="inlineStr">
        <is>
          <t>Chattanooga</t>
        </is>
      </c>
      <c r="G500" s="9" t="inlineStr">
        <is>
          <t>2806 E 50th St</t>
        </is>
      </c>
      <c r="H500" s="9" t="inlineStr">
        <is>
          <t>37407</t>
        </is>
      </c>
      <c r="I500" s="9" t="inlineStr">
        <is>
          <t>sales@ortweinsign.com</t>
        </is>
      </c>
      <c r="J500" s="9" t="inlineStr">
        <is>
          <t>ortweinsign.com</t>
        </is>
      </c>
      <c r="K500" s="10" t="n"/>
      <c r="L500" s="10" t="n"/>
      <c r="M500" s="10" t="n"/>
      <c r="N500" s="10" t="n"/>
      <c r="O500" s="9" t="inlineStr">
        <is>
          <t>verified ortweinsign.com live</t>
        </is>
      </c>
    </row>
    <row r="501">
      <c r="A501" s="13" t="inlineStr">
        <is>
          <t>B</t>
        </is>
      </c>
      <c r="B501" s="9" t="inlineStr">
        <is>
          <t>Not phone re-checked</t>
        </is>
      </c>
      <c r="C501" s="9" t="inlineStr">
        <is>
          <t>Osteen Construction, LLC</t>
        </is>
      </c>
      <c r="D501" s="9" t="inlineStr">
        <is>
          <t>Renovation &amp; Custom Home Builder</t>
        </is>
      </c>
      <c r="E501" s="9" t="inlineStr">
        <is>
          <t>(423) 509-3026</t>
        </is>
      </c>
      <c r="F501" s="9" t="inlineStr">
        <is>
          <t>Chattanooga</t>
        </is>
      </c>
      <c r="G501" s="9" t="inlineStr">
        <is>
          <t>4637 Guild Trail</t>
        </is>
      </c>
      <c r="H501" s="9" t="inlineStr">
        <is>
          <t>37409</t>
        </is>
      </c>
      <c r="I501" s="9" t="n"/>
      <c r="J501" s="9" t="inlineStr">
        <is>
          <t>osteenconstruction.com</t>
        </is>
      </c>
      <c r="K501" s="10" t="n"/>
      <c r="L501" s="10" t="n"/>
      <c r="M501" s="10" t="n"/>
      <c r="N501" s="10" t="n"/>
      <c r="O501" s="9" t="inlineStr">
        <is>
          <t>Small historic-renovation and custom-build firm with crew trucks. Worth noting they also run Southern Window Films as a 3M certified window film dealer and installer - so they are in the film trade themselves, which makes them a referral contact as much as a customer.</t>
        </is>
      </c>
    </row>
    <row r="502">
      <c r="A502" s="13" t="inlineStr">
        <is>
          <t>B</t>
        </is>
      </c>
      <c r="B502" s="9" t="inlineStr">
        <is>
          <t>Not phone re-checked</t>
        </is>
      </c>
      <c r="C502" s="9" t="inlineStr">
        <is>
          <t>Overlooked Materials</t>
        </is>
      </c>
      <c r="D502" s="9" t="inlineStr">
        <is>
          <t>Glass &amp; Styrofoam Recycling</t>
        </is>
      </c>
      <c r="E502" s="9" t="inlineStr">
        <is>
          <t>(423) 207-3383</t>
        </is>
      </c>
      <c r="F502" s="9" t="inlineStr">
        <is>
          <t>Chattanooga</t>
        </is>
      </c>
      <c r="G502" s="9" t="inlineStr">
        <is>
          <t>951 South Watkins Street</t>
        </is>
      </c>
      <c r="H502" s="9" t="inlineStr">
        <is>
          <t>37405</t>
        </is>
      </c>
      <c r="I502" s="9" t="inlineStr">
        <is>
          <t>morgan.holl@hillcity.ventures</t>
        </is>
      </c>
      <c r="J502" s="9" t="inlineStr">
        <is>
          <t>overlookedmaterials.com</t>
        </is>
      </c>
      <c r="K502" s="10" t="n"/>
      <c r="L502" s="10" t="n"/>
      <c r="M502" s="10" t="n"/>
      <c r="N502" s="10" t="n"/>
      <c r="O502" s="9" t="inlineStr">
        <is>
          <t>Gap-filled 2026-09-04: phone and street address added - the row previously had only an email and no street. This is the glass recycler, so still the partner conversation as much as a sales call: they are a natural home for scrap windscreen glass, and now there is a number to ring.</t>
        </is>
      </c>
    </row>
    <row r="503">
      <c r="A503" s="13" t="inlineStr">
        <is>
          <t>B</t>
        </is>
      </c>
      <c r="B503" s="9" t="inlineStr">
        <is>
          <t>Not phone re-checked</t>
        </is>
      </c>
      <c r="C503" s="9" t="inlineStr">
        <is>
          <t>Oxy Green</t>
        </is>
      </c>
      <c r="D503" s="9" t="inlineStr">
        <is>
          <t>Carpet &amp; Upholstery Cleaning</t>
        </is>
      </c>
      <c r="E503" s="9" t="inlineStr">
        <is>
          <t>(423) 488-9976</t>
        </is>
      </c>
      <c r="F503" s="9" t="inlineStr">
        <is>
          <t>Chattanooga</t>
        </is>
      </c>
      <c r="G503" s="9" t="n"/>
      <c r="H503" s="9" t="inlineStr">
        <is>
          <t>37421</t>
        </is>
      </c>
      <c r="I503" s="9" t="n"/>
      <c r="J503" s="9" t="inlineStr">
        <is>
          <t>oxygreencarpetcleaningchattanooga.com</t>
        </is>
      </c>
      <c r="K503" s="10" t="n"/>
      <c r="L503" s="10" t="n"/>
      <c r="M503" s="10" t="n"/>
      <c r="N503" s="10" t="n"/>
      <c r="O503" s="9" t="inlineStr">
        <is>
          <t>Owner-operator running service vans to homes, offices and marinas. Call or text the same number - that is how their site says to reach them. No address or email published.</t>
        </is>
      </c>
    </row>
    <row r="504">
      <c r="A504" s="13" t="inlineStr">
        <is>
          <t>B</t>
        </is>
      </c>
      <c r="B504" s="9" t="inlineStr">
        <is>
          <t>Not phone re-checked</t>
        </is>
      </c>
      <c r="C504" s="9" t="inlineStr">
        <is>
          <t>Paden Tree People</t>
        </is>
      </c>
      <c r="D504" s="9" t="inlineStr">
        <is>
          <t>Tree Service</t>
        </is>
      </c>
      <c r="E504" s="9" t="inlineStr">
        <is>
          <t>(423) 326-9104</t>
        </is>
      </c>
      <c r="F504" s="9" t="inlineStr">
        <is>
          <t>Chattanooga</t>
        </is>
      </c>
      <c r="G504" s="9" t="inlineStr">
        <is>
          <t>7611 Hixson Pike</t>
        </is>
      </c>
      <c r="H504" s="9" t="inlineStr">
        <is>
          <t>37343</t>
        </is>
      </c>
      <c r="I504" s="9" t="inlineStr">
        <is>
          <t>paden.treepeople@gmail.com</t>
        </is>
      </c>
      <c r="J504" s="9" t="inlineStr">
        <is>
          <t>padentreepeople.com</t>
        </is>
      </c>
      <c r="K504" s="10" t="n"/>
      <c r="L504" s="10" t="n"/>
      <c r="M504" s="10" t="n"/>
      <c r="N504" s="10" t="n"/>
      <c r="O504" s="9" t="inlineStr">
        <is>
          <t>verified padentreepeople.com live</t>
        </is>
      </c>
    </row>
    <row r="505">
      <c r="A505" s="13" t="inlineStr">
        <is>
          <t>B</t>
        </is>
      </c>
      <c r="B505" s="9" t="inlineStr">
        <is>
          <t>Not phone re-checked</t>
        </is>
      </c>
      <c r="C505" s="9" t="inlineStr">
        <is>
          <t>Paragon Printing Inc</t>
        </is>
      </c>
      <c r="D505" s="9" t="inlineStr">
        <is>
          <t>Vehicle Wraps / Grand Format Printing</t>
        </is>
      </c>
      <c r="E505" s="9" t="inlineStr">
        <is>
          <t>(423) 870-3917</t>
        </is>
      </c>
      <c r="F505" s="9" t="inlineStr">
        <is>
          <t>Chattanooga</t>
        </is>
      </c>
      <c r="G505" s="9" t="inlineStr">
        <is>
          <t>4701 Wilson Rd, Suite C</t>
        </is>
      </c>
      <c r="H505" s="9" t="inlineStr">
        <is>
          <t>37410</t>
        </is>
      </c>
      <c r="I505" s="9" t="inlineStr">
        <is>
          <t>info@paragonprinting.biz</t>
        </is>
      </c>
      <c r="J505" s="9" t="inlineStr">
        <is>
          <t>paragonprinting.biz</t>
        </is>
      </c>
      <c r="K505" s="10" t="n"/>
      <c r="L505" s="10" t="n"/>
      <c r="M505" s="10" t="n"/>
      <c r="N505" s="10" t="n"/>
      <c r="O505" s="9" t="inlineStr">
        <is>
          <t>New lead. Worth a call as a referral partner as much as a customer - they wrap other companies' fleets and see every windshield that comes through.</t>
        </is>
      </c>
    </row>
    <row r="506">
      <c r="A506" s="13" t="inlineStr">
        <is>
          <t>B</t>
        </is>
      </c>
      <c r="B506" s="9" t="inlineStr">
        <is>
          <t>Not phone re-checked</t>
        </is>
      </c>
      <c r="C506" s="9" t="inlineStr">
        <is>
          <t>Parkridge Medical Center</t>
        </is>
      </c>
      <c r="D506" s="9" t="inlineStr">
        <is>
          <t>Hospital System</t>
        </is>
      </c>
      <c r="E506" s="9" t="inlineStr">
        <is>
          <t>(423) 698-6061</t>
        </is>
      </c>
      <c r="F506" s="9" t="inlineStr">
        <is>
          <t>Chattanooga</t>
        </is>
      </c>
      <c r="G506" s="9" t="inlineStr">
        <is>
          <t>2333 McCallie Ave</t>
        </is>
      </c>
      <c r="H506" s="9" t="inlineStr">
        <is>
          <t>37404</t>
        </is>
      </c>
      <c r="I506" s="9" t="n"/>
      <c r="J506" s="9" t="inlineStr">
        <is>
          <t>parkridgehealth.com</t>
        </is>
      </c>
      <c r="K506" s="10" t="n"/>
      <c r="L506" s="10" t="n"/>
      <c r="M506" s="10" t="n"/>
      <c r="N506" s="10" t="n"/>
      <c r="O506" s="9" t="inlineStr">
        <is>
          <t>verified parkridgehealth.com live</t>
        </is>
      </c>
    </row>
    <row r="507">
      <c r="A507" s="13" t="inlineStr">
        <is>
          <t>B</t>
        </is>
      </c>
      <c r="B507" s="9" t="inlineStr">
        <is>
          <t>Not phone re-checked</t>
        </is>
      </c>
      <c r="C507" s="9" t="inlineStr">
        <is>
          <t>Paul's Towing &amp; Auto Parts</t>
        </is>
      </c>
      <c r="D507" s="9" t="inlineStr">
        <is>
          <t>Towing</t>
        </is>
      </c>
      <c r="E507" s="9" t="inlineStr">
        <is>
          <t>(423) 842-0787</t>
        </is>
      </c>
      <c r="F507" s="9" t="inlineStr">
        <is>
          <t>Soddy-Daisy</t>
        </is>
      </c>
      <c r="G507" s="9" t="inlineStr">
        <is>
          <t>8372 Dayton Pike</t>
        </is>
      </c>
      <c r="H507" s="9" t="inlineStr">
        <is>
          <t>37379</t>
        </is>
      </c>
      <c r="I507" s="9" t="inlineStr">
        <is>
          <t>paulsap@outlook.com</t>
        </is>
      </c>
      <c r="J507" s="9" t="inlineStr">
        <is>
          <t>paulsautopartswreckerservice.com</t>
        </is>
      </c>
      <c r="K507" s="10" t="n"/>
      <c r="L507" s="10" t="n"/>
      <c r="M507" s="10" t="n"/>
      <c r="N507" s="10" t="n"/>
      <c r="O507" s="9" t="inlineStr">
        <is>
          <t>verified site live</t>
        </is>
      </c>
    </row>
    <row r="508">
      <c r="A508" s="13" t="inlineStr">
        <is>
          <t>B</t>
        </is>
      </c>
      <c r="B508" s="9" t="inlineStr">
        <is>
          <t>Not phone re-checked</t>
        </is>
      </c>
      <c r="C508" s="9" t="inlineStr">
        <is>
          <t>PCM Fire Sprinklers</t>
        </is>
      </c>
      <c r="D508" s="9" t="inlineStr">
        <is>
          <t>Fire Protection</t>
        </is>
      </c>
      <c r="E508" s="9" t="inlineStr">
        <is>
          <t>(423) 954-8827</t>
        </is>
      </c>
      <c r="F508" s="9" t="inlineStr">
        <is>
          <t>Chattanooga</t>
        </is>
      </c>
      <c r="G508" s="9" t="inlineStr">
        <is>
          <t>3755 Pilot Point</t>
        </is>
      </c>
      <c r="H508" s="9" t="inlineStr">
        <is>
          <t>37416</t>
        </is>
      </c>
      <c r="I508" s="9" t="inlineStr">
        <is>
          <t>rodney@pcmfire.com</t>
        </is>
      </c>
      <c r="J508" s="9" t="inlineStr">
        <is>
          <t>pcmfire.com</t>
        </is>
      </c>
      <c r="K508" s="10" t="n"/>
      <c r="L508" s="10" t="n"/>
      <c r="M508" s="10" t="n"/>
      <c r="N508" s="10" t="n"/>
      <c r="O508" s="9" t="inlineStr">
        <is>
          <t>verified pcmfire.com live</t>
        </is>
      </c>
    </row>
    <row r="509">
      <c r="A509" s="13" t="inlineStr">
        <is>
          <t>B</t>
        </is>
      </c>
      <c r="B509" s="9" t="inlineStr">
        <is>
          <t>Not phone re-checked</t>
        </is>
      </c>
      <c r="C509" s="9" t="inlineStr">
        <is>
          <t>Peak Pest Control</t>
        </is>
      </c>
      <c r="D509" s="9" t="inlineStr">
        <is>
          <t>Pest Control</t>
        </is>
      </c>
      <c r="E509" s="9" t="inlineStr">
        <is>
          <t>(423) 386-5721</t>
        </is>
      </c>
      <c r="F509" s="9" t="inlineStr">
        <is>
          <t>Hixson</t>
        </is>
      </c>
      <c r="G509" s="9" t="inlineStr">
        <is>
          <t>5906 Cassandra Smith Rd</t>
        </is>
      </c>
      <c r="H509" s="9" t="inlineStr">
        <is>
          <t>37343</t>
        </is>
      </c>
      <c r="I509" s="9" t="n"/>
      <c r="J509" s="9" t="inlineStr">
        <is>
          <t>peakpestservice.com</t>
        </is>
      </c>
      <c r="K509" s="10" t="n"/>
      <c r="L509" s="10" t="n"/>
      <c r="M509" s="10" t="n"/>
      <c r="N509" s="10" t="n"/>
      <c r="O509" s="9" t="inlineStr">
        <is>
          <t>Gap-filled 2026-09-04: website added, phone and address confirmed unchanged. Pest control routes mean trucks out across the metro every day.</t>
        </is>
      </c>
    </row>
    <row r="510">
      <c r="A510" s="13" t="inlineStr">
        <is>
          <t>B</t>
        </is>
      </c>
      <c r="B510" s="9" t="inlineStr">
        <is>
          <t>Not phone re-checked</t>
        </is>
      </c>
      <c r="C510" s="9" t="inlineStr">
        <is>
          <t>Peppers Construction</t>
        </is>
      </c>
      <c r="D510" s="9" t="inlineStr">
        <is>
          <t>Residential Builder &amp; Renovation</t>
        </is>
      </c>
      <c r="E510" s="9" t="inlineStr">
        <is>
          <t>(423) 718-5531</t>
        </is>
      </c>
      <c r="F510" s="9" t="inlineStr">
        <is>
          <t>Chattanooga</t>
        </is>
      </c>
      <c r="G510" s="9" t="inlineStr">
        <is>
          <t>818 East Main Street</t>
        </is>
      </c>
      <c r="H510" s="9" t="inlineStr">
        <is>
          <t>37408</t>
        </is>
      </c>
      <c r="I510" s="9" t="inlineStr">
        <is>
          <t>mariana.peppersconstruction@gmail.com</t>
        </is>
      </c>
      <c r="J510" s="9" t="inlineStr">
        <is>
          <t>benpeppers.com</t>
        </is>
      </c>
      <c r="K510" s="10" t="n"/>
      <c r="L510" s="10" t="n"/>
      <c r="M510" s="10" t="n"/>
      <c r="N510" s="10" t="n"/>
      <c r="O510" s="9" t="inlineStr">
        <is>
          <t>Small builder, so a couple of trucks - but a named person answers that email, which counts for more than headcount. Their own site says 818 East Main Street; the record's 2106 Fort Street is stale.</t>
        </is>
      </c>
    </row>
    <row r="511">
      <c r="A511" s="13" t="inlineStr">
        <is>
          <t>B</t>
        </is>
      </c>
      <c r="B511" s="9" t="inlineStr">
        <is>
          <t>Not phone re-checked</t>
        </is>
      </c>
      <c r="C511" s="9" t="inlineStr">
        <is>
          <t>Perfect Blend Pest Solutions</t>
        </is>
      </c>
      <c r="D511" s="9" t="inlineStr">
        <is>
          <t>Pest Control</t>
        </is>
      </c>
      <c r="E511" s="9" t="inlineStr">
        <is>
          <t>(423) 966-2847</t>
        </is>
      </c>
      <c r="F511" s="9" t="inlineStr">
        <is>
          <t>Ooltewah</t>
        </is>
      </c>
      <c r="G511" s="9" t="inlineStr">
        <is>
          <t>6104 Ooltewah Georgetown Rd Ste B</t>
        </is>
      </c>
      <c r="H511" s="9" t="inlineStr">
        <is>
          <t>37363</t>
        </is>
      </c>
      <c r="I511" s="9" t="n"/>
      <c r="J511" s="9" t="inlineStr">
        <is>
          <t>perfectblendpestsolutions.com</t>
        </is>
      </c>
      <c r="K511" s="10" t="n"/>
      <c r="L511" s="10" t="n"/>
      <c r="M511" s="10" t="n"/>
      <c r="N511" s="10" t="n"/>
      <c r="O511" s="9" t="inlineStr">
        <is>
          <t>verified perfectblendpestsolutions.com live</t>
        </is>
      </c>
    </row>
    <row r="512">
      <c r="A512" s="13" t="inlineStr">
        <is>
          <t>B</t>
        </is>
      </c>
      <c r="B512" s="9" t="inlineStr">
        <is>
          <t>Not phone re-checked</t>
        </is>
      </c>
      <c r="C512" s="9" t="inlineStr">
        <is>
          <t>Pinnacle Pools and Spas</t>
        </is>
      </c>
      <c r="D512" s="9" t="inlineStr">
        <is>
          <t>Pool Service / Pool Builder</t>
        </is>
      </c>
      <c r="E512" s="9" t="inlineStr">
        <is>
          <t>(423) 358-1178</t>
        </is>
      </c>
      <c r="F512" s="9" t="inlineStr">
        <is>
          <t>Chattanooga</t>
        </is>
      </c>
      <c r="G512" s="9" t="inlineStr">
        <is>
          <t>6102 Shallowford Rd Ste 105</t>
        </is>
      </c>
      <c r="H512" s="9" t="inlineStr">
        <is>
          <t>37421</t>
        </is>
      </c>
      <c r="I512" s="9" t="n"/>
      <c r="J512" s="9" t="inlineStr">
        <is>
          <t>pinnaclepoolsandspas.com</t>
        </is>
      </c>
      <c r="K512" s="10" t="n"/>
      <c r="L512" s="10" t="n"/>
      <c r="M512" s="10" t="n"/>
      <c r="N512" s="10" t="n"/>
      <c r="O512" s="9" t="inlineStr">
        <is>
          <t>verified pinnaclepoolsandspas.com live</t>
        </is>
      </c>
    </row>
    <row r="513">
      <c r="A513" s="13" t="inlineStr">
        <is>
          <t>B</t>
        </is>
      </c>
      <c r="B513" s="9" t="inlineStr">
        <is>
          <t>Not phone re-checked</t>
        </is>
      </c>
      <c r="C513" s="9" t="inlineStr">
        <is>
          <t>Pit Stop Portables (Port-O-Toilet, LLC)</t>
        </is>
      </c>
      <c r="D513" s="9" t="inlineStr">
        <is>
          <t>Portable Sanitation</t>
        </is>
      </c>
      <c r="E513" s="9" t="inlineStr">
        <is>
          <t>(423) 894-9994</t>
        </is>
      </c>
      <c r="F513" s="9" t="inlineStr">
        <is>
          <t>Chattanooga</t>
        </is>
      </c>
      <c r="G513" s="9" t="inlineStr">
        <is>
          <t>1516 E Main St</t>
        </is>
      </c>
      <c r="H513" s="9" t="inlineStr">
        <is>
          <t>37404</t>
        </is>
      </c>
      <c r="I513" s="9" t="inlineStr">
        <is>
          <t>charlie@pitstopportables.net</t>
        </is>
      </c>
      <c r="J513" s="9" t="inlineStr">
        <is>
          <t>pitstopportables.net</t>
        </is>
      </c>
      <c r="K513" s="10" t="n"/>
      <c r="L513" s="10" t="n"/>
      <c r="M513" s="10" t="n"/>
      <c r="N513" s="10" t="n"/>
      <c r="O513" s="9" t="inlineStr">
        <is>
          <t>found website; since 1964, BBB A+</t>
        </is>
      </c>
    </row>
    <row r="514">
      <c r="A514" s="13" t="inlineStr">
        <is>
          <t>B</t>
        </is>
      </c>
      <c r="B514" s="9" t="inlineStr">
        <is>
          <t>Not phone re-checked</t>
        </is>
      </c>
      <c r="C514" s="9" t="inlineStr">
        <is>
          <t>Post &amp; Oak, LLC</t>
        </is>
      </c>
      <c r="D514" s="9" t="inlineStr">
        <is>
          <t>Construction</t>
        </is>
      </c>
      <c r="E514" s="9" t="inlineStr">
        <is>
          <t>(423) 822-2279</t>
        </is>
      </c>
      <c r="F514" s="9" t="inlineStr">
        <is>
          <t>Apison</t>
        </is>
      </c>
      <c r="G514" s="9" t="inlineStr">
        <is>
          <t>11286 First Street, PO Box 305</t>
        </is>
      </c>
      <c r="H514" s="9" t="inlineStr">
        <is>
          <t>37302</t>
        </is>
      </c>
      <c r="I514" s="9" t="inlineStr">
        <is>
          <t>casey@postandoak.co</t>
        </is>
      </c>
      <c r="J514" s="9" t="inlineStr">
        <is>
          <t>postandoak.co</t>
        </is>
      </c>
      <c r="K514" s="10" t="n"/>
      <c r="L514" s="10" t="n"/>
      <c r="M514" s="10" t="n"/>
      <c r="N514" s="10" t="n"/>
      <c r="O514" s="9" t="inlineStr">
        <is>
          <t>Full contact set including a named inbox - ask for Casey.</t>
        </is>
      </c>
    </row>
    <row r="515">
      <c r="A515" s="13" t="inlineStr">
        <is>
          <t>B</t>
        </is>
      </c>
      <c r="B515" s="9" t="inlineStr">
        <is>
          <t>Not phone re-checked</t>
        </is>
      </c>
      <c r="C515" s="9" t="inlineStr">
        <is>
          <t>Power Equipment Company</t>
        </is>
      </c>
      <c r="D515" s="9" t="inlineStr">
        <is>
          <t>Equipment Rental/Dealer</t>
        </is>
      </c>
      <c r="E515" s="9" t="inlineStr">
        <is>
          <t>(423) 894-1870</t>
        </is>
      </c>
      <c r="F515" s="9" t="inlineStr">
        <is>
          <t>Chattanooga</t>
        </is>
      </c>
      <c r="G515" s="9" t="inlineStr">
        <is>
          <t>4295 Bonny Oaks Dr</t>
        </is>
      </c>
      <c r="H515" s="9" t="inlineStr">
        <is>
          <t>37406</t>
        </is>
      </c>
      <c r="I515" s="9" t="n"/>
      <c r="J515" s="9" t="inlineStr">
        <is>
          <t>powerequipco.com</t>
        </is>
      </c>
      <c r="K515" s="10" t="n"/>
      <c r="L515" s="10" t="n"/>
      <c r="M515" s="10" t="n"/>
      <c r="N515" s="10" t="n"/>
      <c r="O515" s="9" t="inlineStr">
        <is>
          <t>verified powerequipco.com live</t>
        </is>
      </c>
    </row>
    <row r="516">
      <c r="A516" s="13" t="inlineStr">
        <is>
          <t>B</t>
        </is>
      </c>
      <c r="B516" s="9" t="inlineStr">
        <is>
          <t>Not phone re-checked</t>
        </is>
      </c>
      <c r="C516" s="9" t="inlineStr">
        <is>
          <t>Printree</t>
        </is>
      </c>
      <c r="D516" s="9" t="inlineStr">
        <is>
          <t>Printing / Signs / Vehicle Wraps</t>
        </is>
      </c>
      <c r="E516" s="9" t="inlineStr">
        <is>
          <t>(423) 266-3400</t>
        </is>
      </c>
      <c r="F516" s="9" t="inlineStr">
        <is>
          <t>Chattanooga</t>
        </is>
      </c>
      <c r="G516" s="9" t="n"/>
      <c r="H516" s="9" t="n"/>
      <c r="I516" s="9" t="n"/>
      <c r="J516" s="9" t="inlineStr">
        <is>
          <t>printreedigital.com</t>
        </is>
      </c>
      <c r="K516" s="10" t="n"/>
      <c r="L516" s="10" t="n"/>
      <c r="M516" s="10" t="n"/>
      <c r="N516" s="10" t="n"/>
      <c r="O516" s="9" t="inlineStr">
        <is>
          <t>New lead. Another fleet-wrap shop - same referral angle as Paragon. No street address or email published.</t>
        </is>
      </c>
    </row>
    <row r="517">
      <c r="A517" s="13" t="inlineStr">
        <is>
          <t>B</t>
        </is>
      </c>
      <c r="B517" s="9" t="inlineStr">
        <is>
          <t>Not phone re-checked</t>
        </is>
      </c>
      <c r="C517" s="9" t="inlineStr">
        <is>
          <t>QualityPRO Power Washing</t>
        </is>
      </c>
      <c r="D517" s="9" t="inlineStr">
        <is>
          <t>Pressure Washing / Fleet Washing</t>
        </is>
      </c>
      <c r="E517" s="9" t="inlineStr">
        <is>
          <t>(423) 463-0376</t>
        </is>
      </c>
      <c r="F517" s="9" t="inlineStr">
        <is>
          <t>Chattanooga</t>
        </is>
      </c>
      <c r="G517" s="9" t="inlineStr">
        <is>
          <t>3311 4th Ave</t>
        </is>
      </c>
      <c r="H517" s="9" t="n"/>
      <c r="I517" s="9" t="inlineStr">
        <is>
          <t>rick@getpowerwashed.com</t>
        </is>
      </c>
      <c r="J517" s="9" t="inlineStr">
        <is>
          <t>getpowerwashed.com</t>
        </is>
      </c>
      <c r="K517" s="10" t="n"/>
      <c r="L517" s="10" t="n"/>
      <c r="M517" s="10" t="n"/>
      <c r="N517" s="10" t="n"/>
      <c r="O517" s="9" t="inlineStr">
        <is>
          <t>verified getpowerwashed.com live; main line 423-219-5319</t>
        </is>
      </c>
    </row>
    <row r="518">
      <c r="A518" s="13" t="inlineStr">
        <is>
          <t>B</t>
        </is>
      </c>
      <c r="B518" s="9" t="inlineStr">
        <is>
          <t>Not phone re-checked</t>
        </is>
      </c>
      <c r="C518" s="9" t="inlineStr">
        <is>
          <t>Quick Everett's Garage</t>
        </is>
      </c>
      <c r="D518" s="9" t="inlineStr">
        <is>
          <t>Auto Repair Shop</t>
        </is>
      </c>
      <c r="E518" s="9" t="inlineStr">
        <is>
          <t>(423) 498-5449</t>
        </is>
      </c>
      <c r="F518" s="9" t="inlineStr">
        <is>
          <t>Chattanooga</t>
        </is>
      </c>
      <c r="G518" s="9" t="inlineStr">
        <is>
          <t>910 Creekside Rd A1</t>
        </is>
      </c>
      <c r="H518" s="9" t="inlineStr">
        <is>
          <t>37406</t>
        </is>
      </c>
      <c r="I518" s="9" t="n"/>
      <c r="J518" s="9" t="inlineStr">
        <is>
          <t>quickeverettsgarage.com</t>
        </is>
      </c>
      <c r="K518" s="10" t="n"/>
      <c r="L518" s="10" t="n"/>
      <c r="M518" s="10" t="n"/>
      <c r="N518" s="10" t="n"/>
      <c r="O518" s="9" t="inlineStr">
        <is>
          <t>found website</t>
        </is>
      </c>
    </row>
    <row r="519">
      <c r="A519" s="13" t="inlineStr">
        <is>
          <t>B</t>
        </is>
      </c>
      <c r="B519" s="9" t="inlineStr">
        <is>
          <t>Not phone re-checked</t>
        </is>
      </c>
      <c r="C519" s="9" t="inlineStr">
        <is>
          <t>Rambo Marine – Chattanooga</t>
        </is>
      </c>
      <c r="D519" s="9" t="inlineStr">
        <is>
          <t>Boat Dealer / Marine Service</t>
        </is>
      </c>
      <c r="E519" s="9" t="inlineStr">
        <is>
          <t>(423) 900-2628</t>
        </is>
      </c>
      <c r="F519" s="9" t="inlineStr">
        <is>
          <t>Chattanooga</t>
        </is>
      </c>
      <c r="G519" s="9" t="inlineStr">
        <is>
          <t>4301 TN-58</t>
        </is>
      </c>
      <c r="H519" s="9" t="inlineStr">
        <is>
          <t>37416</t>
        </is>
      </c>
      <c r="I519" s="9" t="inlineStr">
        <is>
          <t>rctLeads@rambomarine.com</t>
        </is>
      </c>
      <c r="J519" s="9" t="inlineStr">
        <is>
          <t>rambomarine.com/locations/rambo-marine-chattanooga-tn</t>
        </is>
      </c>
      <c r="K519" s="10" t="n"/>
      <c r="L519" s="10" t="n"/>
      <c r="M519" s="10" t="n"/>
      <c r="N519" s="10" t="n"/>
      <c r="O519" s="9" t="inlineStr">
        <is>
          <t>verified rambomarine.com live</t>
        </is>
      </c>
    </row>
    <row r="520">
      <c r="A520" s="13" t="inlineStr">
        <is>
          <t>B</t>
        </is>
      </c>
      <c r="B520" s="9" t="inlineStr">
        <is>
          <t>Not phone re-checked</t>
        </is>
      </c>
      <c r="C520" s="9" t="inlineStr">
        <is>
          <t>Range Projects</t>
        </is>
      </c>
      <c r="D520" s="9" t="inlineStr">
        <is>
          <t>Custom Design &amp; Fabrication</t>
        </is>
      </c>
      <c r="E520" s="9" t="inlineStr">
        <is>
          <t>(423) 498-2950</t>
        </is>
      </c>
      <c r="F520" s="9" t="inlineStr">
        <is>
          <t>Chattanooga</t>
        </is>
      </c>
      <c r="G520" s="9" t="inlineStr">
        <is>
          <t>2801 Dodds Avenue</t>
        </is>
      </c>
      <c r="H520" s="9" t="inlineStr">
        <is>
          <t>37407</t>
        </is>
      </c>
      <c r="I520" s="9" t="n"/>
      <c r="J520" s="9" t="inlineStr">
        <is>
          <t>range-projects.com</t>
        </is>
      </c>
      <c r="K520" s="10" t="n"/>
      <c r="L520" s="10" t="n"/>
      <c r="M520" s="10" t="n"/>
      <c r="N520" s="10" t="n"/>
      <c r="O520" s="9" t="inlineStr">
        <is>
          <t>Gap-filled 2026-09-04: phone added - the row had the address but no way to call. Box trucks running installs, including out of state.</t>
        </is>
      </c>
    </row>
    <row r="521">
      <c r="A521" s="13" t="inlineStr">
        <is>
          <t>B</t>
        </is>
      </c>
      <c r="B521" s="9" t="inlineStr">
        <is>
          <t>Not phone re-checked</t>
        </is>
      </c>
      <c r="C521" s="9" t="inlineStr">
        <is>
          <t>Reasonable Service</t>
        </is>
      </c>
      <c r="D521" s="9" t="inlineStr">
        <is>
          <t>Commercial HVAC / Refrigeration</t>
        </is>
      </c>
      <c r="E521" s="9" t="inlineStr">
        <is>
          <t>(423) 508-8926</t>
        </is>
      </c>
      <c r="F521" s="9" t="inlineStr">
        <is>
          <t>Chattanooga</t>
        </is>
      </c>
      <c r="G521" s="9" t="n"/>
      <c r="H521" s="9" t="n"/>
      <c r="I521" s="9" t="n"/>
      <c r="J521" s="9" t="inlineStr">
        <is>
          <t>reasonableservice.net</t>
        </is>
      </c>
      <c r="K521" s="10" t="n"/>
      <c r="L521" s="10" t="n"/>
      <c r="M521" s="10" t="n"/>
      <c r="N521" s="10" t="n"/>
      <c r="O521" s="9" t="inlineStr">
        <is>
          <t>New lead. They publish a text line as well as a phone - 423-400-7541. No email or address.</t>
        </is>
      </c>
    </row>
    <row r="522">
      <c r="A522" s="13" t="inlineStr">
        <is>
          <t>B</t>
        </is>
      </c>
      <c r="B522" s="9" t="inlineStr">
        <is>
          <t>Not phone re-checked</t>
        </is>
      </c>
      <c r="C522" s="9" t="inlineStr">
        <is>
          <t>Red Rooster Welding</t>
        </is>
      </c>
      <c r="D522" s="9" t="inlineStr">
        <is>
          <t>Welding / Metal Fabrication</t>
        </is>
      </c>
      <c r="E522" s="9" t="inlineStr">
        <is>
          <t>(423) 653-0995</t>
        </is>
      </c>
      <c r="F522" s="9" t="inlineStr">
        <is>
          <t>Chattanooga</t>
        </is>
      </c>
      <c r="G522" s="9" t="n"/>
      <c r="H522" s="9" t="n"/>
      <c r="I522" s="9" t="n"/>
      <c r="J522" s="9" t="inlineStr">
        <is>
          <t>redroosterwelding.com</t>
        </is>
      </c>
      <c r="K522" s="10" t="n"/>
      <c r="L522" s="10" t="n"/>
      <c r="M522" s="10" t="n"/>
      <c r="N522" s="10" t="n"/>
      <c r="O522" s="9" t="inlineStr">
        <is>
          <t>New lead. Second number 706-979-4382 is a north Georgia line. No street address or email published.</t>
        </is>
      </c>
    </row>
    <row r="523">
      <c r="A523" s="13" t="inlineStr">
        <is>
          <t>B</t>
        </is>
      </c>
      <c r="B523" s="9" t="inlineStr">
        <is>
          <t>Not phone re-checked</t>
        </is>
      </c>
      <c r="C523" s="9" t="inlineStr">
        <is>
          <t>Reliable Towing</t>
        </is>
      </c>
      <c r="D523" s="9" t="inlineStr">
        <is>
          <t>Towing</t>
        </is>
      </c>
      <c r="E523" s="9" t="inlineStr">
        <is>
          <t>(423) 622-0063</t>
        </is>
      </c>
      <c r="F523" s="9" t="inlineStr">
        <is>
          <t>Chattanooga</t>
        </is>
      </c>
      <c r="G523" s="9" t="inlineStr">
        <is>
          <t>2700 Bliss Ave</t>
        </is>
      </c>
      <c r="H523" s="9" t="inlineStr">
        <is>
          <t>37406</t>
        </is>
      </c>
      <c r="I523" s="9" t="n"/>
      <c r="J523" s="9" t="n"/>
      <c r="K523" s="10" t="n"/>
      <c r="L523" s="10" t="n"/>
      <c r="M523" s="10" t="n"/>
      <c r="N523" s="10" t="n"/>
      <c r="O523" s="9" t="inlineStr">
        <is>
          <t>Gap-filled 2026-09-04: open Google search found no official website. The number Google returns, (423) 622-0063, matches what is already in this row, which is a good sign the existing data is right.</t>
        </is>
      </c>
    </row>
    <row r="524">
      <c r="A524" s="13" t="inlineStr">
        <is>
          <t>B</t>
        </is>
      </c>
      <c r="B524" s="9" t="inlineStr">
        <is>
          <t>Not phone re-checked</t>
        </is>
      </c>
      <c r="C524" s="9" t="inlineStr">
        <is>
          <t>REMI Home Elevators</t>
        </is>
      </c>
      <c r="D524" s="9" t="inlineStr">
        <is>
          <t>Residential Elevator Manufacturer &amp; Installer</t>
        </is>
      </c>
      <c r="E524" s="9" t="inlineStr">
        <is>
          <t>(423) 991-3880</t>
        </is>
      </c>
      <c r="F524" s="9" t="inlineStr">
        <is>
          <t>Chattanooga</t>
        </is>
      </c>
      <c r="G524" s="9" t="inlineStr">
        <is>
          <t>1709 North Orchard Knob Avenue</t>
        </is>
      </c>
      <c r="H524" s="9" t="inlineStr">
        <is>
          <t>37406</t>
        </is>
      </c>
      <c r="I524" s="9" t="n"/>
      <c r="J524" s="9" t="inlineStr">
        <is>
          <t>remihomeelevators.com</t>
        </is>
      </c>
      <c r="K524" s="10" t="n"/>
      <c r="L524" s="10" t="n"/>
      <c r="M524" s="10" t="n"/>
      <c r="N524" s="10" t="n"/>
      <c r="O524" s="9" t="inlineStr">
        <is>
          <t>Manufacturer as well as installer, so there are delivery and install vehicles, but much of the fitting is done through dealers - kept at B for that reason. Their own site confirms the record's Orchard Knob address. No email published.</t>
        </is>
      </c>
    </row>
    <row r="525">
      <c r="A525" s="13" t="inlineStr">
        <is>
          <t>B</t>
        </is>
      </c>
      <c r="B525" s="9" t="inlineStr">
        <is>
          <t>Not phone re-checked</t>
        </is>
      </c>
      <c r="C525" s="9" t="inlineStr">
        <is>
          <t>Restore Roofing</t>
        </is>
      </c>
      <c r="D525" s="9" t="inlineStr">
        <is>
          <t>Roofing Contractor</t>
        </is>
      </c>
      <c r="E525" s="9" t="inlineStr">
        <is>
          <t>(423) 602-7663</t>
        </is>
      </c>
      <c r="F525" s="9" t="inlineStr">
        <is>
          <t>Chattanooga</t>
        </is>
      </c>
      <c r="G525" s="9" t="inlineStr">
        <is>
          <t>608 South Holtzclaw Avenue</t>
        </is>
      </c>
      <c r="H525" s="9" t="inlineStr">
        <is>
          <t>37404</t>
        </is>
      </c>
      <c r="I525" s="9" t="n"/>
      <c r="J525" s="9" t="inlineStr">
        <is>
          <t>restoreroofing.biz</t>
        </is>
      </c>
      <c r="K525" s="10" t="n"/>
      <c r="L525" s="10" t="n"/>
      <c r="M525" s="10" t="n"/>
      <c r="N525" s="10" t="n"/>
      <c r="O525" s="9" t="inlineStr">
        <is>
          <t>Gap-filled 2026-09-04: phone added - the first pass found the address and website but no number, because everything on their own site routes through a free-inspection form. Roofing crews hauling materials daily.</t>
        </is>
      </c>
    </row>
    <row r="526">
      <c r="A526" s="13" t="inlineStr">
        <is>
          <t>B</t>
        </is>
      </c>
      <c r="B526" s="9" t="inlineStr">
        <is>
          <t>Not phone re-checked</t>
        </is>
      </c>
      <c r="C526" s="9" t="inlineStr">
        <is>
          <t>River City Excavating, LLC</t>
        </is>
      </c>
      <c r="D526" s="9" t="inlineStr">
        <is>
          <t>Excavation / Grading</t>
        </is>
      </c>
      <c r="E526" s="9" t="inlineStr">
        <is>
          <t>(423) 509-4148</t>
        </is>
      </c>
      <c r="F526" s="9" t="inlineStr">
        <is>
          <t>Hixson</t>
        </is>
      </c>
      <c r="G526" s="9" t="n"/>
      <c r="H526" s="9" t="inlineStr">
        <is>
          <t>37343</t>
        </is>
      </c>
      <c r="I526" s="9" t="n"/>
      <c r="J526" s="9" t="inlineStr">
        <is>
          <t>rivercityexcavatingllc.com</t>
        </is>
      </c>
      <c r="K526" s="10" t="n"/>
      <c r="L526" s="10" t="n"/>
      <c r="M526" s="10" t="n"/>
      <c r="N526" s="10" t="n"/>
      <c r="O526" s="9" t="inlineStr">
        <is>
          <t>Gap-filled 2026-09-04: the row was empty of both website and phone, and now has both. Excavation crews run trackhoes on lowboys and dump trucks over rough ground - a good fleet.</t>
        </is>
      </c>
    </row>
    <row r="527">
      <c r="A527" s="13" t="inlineStr">
        <is>
          <t>B</t>
        </is>
      </c>
      <c r="B527" s="9" t="inlineStr">
        <is>
          <t>Not phone re-checked</t>
        </is>
      </c>
      <c r="C527" s="9" t="inlineStr">
        <is>
          <t>River City Landscaping</t>
        </is>
      </c>
      <c r="D527" s="9" t="inlineStr">
        <is>
          <t>Landscaping</t>
        </is>
      </c>
      <c r="E527" s="9" t="inlineStr">
        <is>
          <t>(423) 250-3884</t>
        </is>
      </c>
      <c r="F527" s="9" t="inlineStr">
        <is>
          <t>Harrison</t>
        </is>
      </c>
      <c r="G527" s="9" t="inlineStr">
        <is>
          <t>7434 Davis Mill Cir</t>
        </is>
      </c>
      <c r="H527" s="9" t="inlineStr">
        <is>
          <t>37341</t>
        </is>
      </c>
      <c r="I527" s="9" t="inlineStr">
        <is>
          <t>Michael@rclchatt.com</t>
        </is>
      </c>
      <c r="J527" s="9" t="inlineStr">
        <is>
          <t>rclchatt.com</t>
        </is>
      </c>
      <c r="K527" s="10" t="n"/>
      <c r="L527" s="10" t="n"/>
      <c r="M527" s="10" t="n"/>
      <c r="N527" s="10" t="n"/>
      <c r="O527" s="9" t="inlineStr">
        <is>
          <t>found website+email; est 2021</t>
        </is>
      </c>
    </row>
    <row r="528">
      <c r="A528" s="13" t="inlineStr">
        <is>
          <t>B</t>
        </is>
      </c>
      <c r="B528" s="9" t="inlineStr">
        <is>
          <t>Not phone re-checked</t>
        </is>
      </c>
      <c r="C528" s="9" t="inlineStr">
        <is>
          <t>River City Pool &amp; Spa</t>
        </is>
      </c>
      <c r="D528" s="9" t="inlineStr">
        <is>
          <t>Pool Service</t>
        </is>
      </c>
      <c r="E528" s="9" t="inlineStr">
        <is>
          <t>(423) 842-5151</t>
        </is>
      </c>
      <c r="F528" s="9" t="inlineStr">
        <is>
          <t>Hixson</t>
        </is>
      </c>
      <c r="G528" s="9" t="inlineStr">
        <is>
          <t>7319 Dayton Blvd</t>
        </is>
      </c>
      <c r="H528" s="9" t="inlineStr">
        <is>
          <t>37343</t>
        </is>
      </c>
      <c r="I528" s="9" t="inlineStr">
        <is>
          <t>info@rivercitypool-spa.com</t>
        </is>
      </c>
      <c r="J528" s="9" t="inlineStr">
        <is>
          <t>rivercitypoolandspa.com</t>
        </is>
      </c>
      <c r="K528" s="10" t="n"/>
      <c r="L528" s="10" t="n"/>
      <c r="M528" s="10" t="n"/>
      <c r="N528" s="10" t="n"/>
      <c r="O528" s="9" t="inlineStr">
        <is>
          <t>Business-run page: address, phone and email confirmed, and found their website - the sheet had none. Note the email domain is rivercitypool-spa.com, hyphenated, unlike the website.</t>
        </is>
      </c>
    </row>
    <row r="529">
      <c r="A529" s="13" t="inlineStr">
        <is>
          <t>B</t>
        </is>
      </c>
      <c r="B529" s="9" t="inlineStr">
        <is>
          <t>Not phone re-checked</t>
        </is>
      </c>
      <c r="C529" s="9" t="inlineStr">
        <is>
          <t>Riverbend Gutter Company</t>
        </is>
      </c>
      <c r="D529" s="9" t="inlineStr">
        <is>
          <t>Gutter Contractor</t>
        </is>
      </c>
      <c r="E529" s="9" t="inlineStr">
        <is>
          <t>(423) 488-4861</t>
        </is>
      </c>
      <c r="F529" s="9" t="inlineStr">
        <is>
          <t>Chattanooga</t>
        </is>
      </c>
      <c r="G529" s="9" t="n"/>
      <c r="H529" s="9" t="n"/>
      <c r="I529" s="9" t="n"/>
      <c r="J529" s="9" t="inlineStr">
        <is>
          <t>riverbendgutters.com</t>
        </is>
      </c>
      <c r="K529" s="10" t="n"/>
      <c r="L529" s="10" t="n"/>
      <c r="M529" s="10" t="n"/>
      <c r="N529" s="10" t="n"/>
      <c r="O529" s="9" t="inlineStr">
        <is>
          <t>New lead. No email or street address published; contact form only.</t>
        </is>
      </c>
    </row>
    <row r="530">
      <c r="A530" s="13" t="inlineStr">
        <is>
          <t>B</t>
        </is>
      </c>
      <c r="B530" s="9" t="inlineStr">
        <is>
          <t>Not phone re-checked</t>
        </is>
      </c>
      <c r="C530" s="9" t="inlineStr">
        <is>
          <t>Riverview Floor Design</t>
        </is>
      </c>
      <c r="D530" s="9" t="inlineStr">
        <is>
          <t>Flooring Retailer &amp; Installer</t>
        </is>
      </c>
      <c r="E530" s="9" t="inlineStr">
        <is>
          <t>(423) 451-9955</t>
        </is>
      </c>
      <c r="F530" s="9" t="inlineStr">
        <is>
          <t>Chattanooga</t>
        </is>
      </c>
      <c r="G530" s="9" t="n"/>
      <c r="H530" s="9" t="inlineStr">
        <is>
          <t>37405</t>
        </is>
      </c>
      <c r="I530" s="9" t="n"/>
      <c r="J530" s="9" t="inlineStr">
        <is>
          <t>riverviewfloordesign.com</t>
        </is>
      </c>
      <c r="K530" s="10" t="n"/>
      <c r="L530" s="10" t="n"/>
      <c r="M530" s="10" t="n"/>
      <c r="N530" s="10" t="n"/>
      <c r="O530" s="9" t="inlineStr">
        <is>
          <t>Flooring stores run install crews and delivery trucks. Their own site is centred on Soddy Daisy with a Chattanooga location page, so the record's 417 Frazier Avenue may be the second store rather than the base - confirm which one you are calling. No email published.</t>
        </is>
      </c>
    </row>
    <row r="531">
      <c r="A531" s="13" t="inlineStr">
        <is>
          <t>B</t>
        </is>
      </c>
      <c r="B531" s="9" t="inlineStr">
        <is>
          <t>Not phone re-checked</t>
        </is>
      </c>
      <c r="C531" s="9" t="inlineStr">
        <is>
          <t>ROOF PRODUCTS, INC.</t>
        </is>
      </c>
      <c r="D531" s="9" t="inlineStr">
        <is>
          <t>Roof Curb &amp; Accessory Manufacturer</t>
        </is>
      </c>
      <c r="E531" s="9" t="inlineStr">
        <is>
          <t>(423) 892-8620</t>
        </is>
      </c>
      <c r="F531" s="9" t="inlineStr">
        <is>
          <t>Chattanooga</t>
        </is>
      </c>
      <c r="G531" s="9" t="inlineStr">
        <is>
          <t>7616 Lee Highway</t>
        </is>
      </c>
      <c r="H531" s="9" t="inlineStr">
        <is>
          <t>37421</t>
        </is>
      </c>
      <c r="I531" s="9" t="n"/>
      <c r="J531" s="9" t="inlineStr">
        <is>
          <t>rpicurbs.com</t>
        </is>
      </c>
      <c r="K531" s="10" t="n"/>
      <c r="L531" s="10" t="n"/>
      <c r="M531" s="10" t="n"/>
      <c r="N531" s="10" t="n"/>
      <c r="O531" s="9" t="inlineStr">
        <is>
          <t>A manufacturer rather than a contractor, so the fleet is delivery trucks rather than crews - kept at B. Their own site confirms the record's Lee Highway address. No email published; they use a form.</t>
        </is>
      </c>
    </row>
    <row r="532">
      <c r="A532" s="13" t="inlineStr">
        <is>
          <t>B</t>
        </is>
      </c>
      <c r="B532" s="9" t="inlineStr">
        <is>
          <t>Not phone re-checked</t>
        </is>
      </c>
      <c r="C532" s="9" t="inlineStr">
        <is>
          <t>Rowan Landscapes</t>
        </is>
      </c>
      <c r="D532" s="9" t="inlineStr">
        <is>
          <t>Landscaping / Window Cleaning</t>
        </is>
      </c>
      <c r="E532" s="9" t="inlineStr">
        <is>
          <t>(423) 605-8989</t>
        </is>
      </c>
      <c r="F532" s="9" t="inlineStr">
        <is>
          <t>Hixson</t>
        </is>
      </c>
      <c r="G532" s="9" t="inlineStr">
        <is>
          <t>6537 Harbor View Drive</t>
        </is>
      </c>
      <c r="H532" s="9" t="inlineStr">
        <is>
          <t>37343</t>
        </is>
      </c>
      <c r="I532" s="9" t="n"/>
      <c r="J532" s="9" t="inlineStr">
        <is>
          <t>rowanlandscapes.com</t>
        </is>
      </c>
      <c r="K532" s="10" t="n"/>
      <c r="L532" s="10" t="n"/>
      <c r="M532" s="10" t="n"/>
      <c r="N532" s="10" t="n"/>
      <c r="O532" s="9" t="inlineStr">
        <is>
          <t>Gap-filled 2026-09-04: website and address added, phone confirmed unchanged. Note they also do window cleaning per this row's industry, which makes them a mild trade neighbour as well as a customer.</t>
        </is>
      </c>
    </row>
    <row r="533">
      <c r="A533" s="13" t="inlineStr">
        <is>
          <t>B</t>
        </is>
      </c>
      <c r="B533" s="9" t="inlineStr">
        <is>
          <t>Not phone re-checked</t>
        </is>
      </c>
      <c r="C533" s="9" t="inlineStr">
        <is>
          <t>RS Digital &amp; Laser, LLC</t>
        </is>
      </c>
      <c r="D533" s="9" t="inlineStr">
        <is>
          <t>Laser Engraving Equipment Distributor</t>
        </is>
      </c>
      <c r="E533" s="9" t="inlineStr">
        <is>
          <t>(423) 847-9869</t>
        </is>
      </c>
      <c r="F533" s="9" t="inlineStr">
        <is>
          <t>Chattanooga</t>
        </is>
      </c>
      <c r="G533" s="9" t="inlineStr">
        <is>
          <t>6032 Dayton Boulevard Suite A</t>
        </is>
      </c>
      <c r="H533" s="9" t="inlineStr">
        <is>
          <t>37415</t>
        </is>
      </c>
      <c r="I533" s="9" t="n"/>
      <c r="J533" s="9" t="inlineStr">
        <is>
          <t>rsdlaser.com</t>
        </is>
      </c>
      <c r="K533" s="10" t="n"/>
      <c r="L533" s="10" t="n"/>
      <c r="M533" s="10" t="n"/>
      <c r="N533" s="10" t="n"/>
      <c r="O533" s="9" t="inlineStr">
        <is>
          <t>Epilog's distributor for Tennessee, Kentucky, Alabama and Mississippi - demo and service vehicles covering four states out of a small Dayton Boulevard office. Their own site confirms the record's address and adds the suite. No email published.</t>
        </is>
      </c>
    </row>
    <row r="534">
      <c r="A534" s="13" t="inlineStr">
        <is>
          <t>B</t>
        </is>
      </c>
      <c r="B534" s="9" t="inlineStr">
        <is>
          <t>Not phone re-checked</t>
        </is>
      </c>
      <c r="C534" s="9" t="inlineStr">
        <is>
          <t>S &amp; T Signs</t>
        </is>
      </c>
      <c r="D534" s="9" t="inlineStr">
        <is>
          <t>Sign Company / Printing</t>
        </is>
      </c>
      <c r="E534" s="9" t="inlineStr">
        <is>
          <t>(423) 296-8245</t>
        </is>
      </c>
      <c r="F534" s="9" t="inlineStr">
        <is>
          <t>Chattanooga</t>
        </is>
      </c>
      <c r="G534" s="9" t="inlineStr">
        <is>
          <t>5814 Ringgold Rd Ste C</t>
        </is>
      </c>
      <c r="H534" s="9" t="inlineStr">
        <is>
          <t>37412</t>
        </is>
      </c>
      <c r="I534" s="9" t="n"/>
      <c r="J534" s="9" t="inlineStr">
        <is>
          <t>signsinchattanooga.com</t>
        </is>
      </c>
      <c r="K534" s="10" t="n"/>
      <c r="L534" s="10" t="n"/>
      <c r="M534" s="10" t="n"/>
      <c r="N534" s="10" t="n"/>
      <c r="O534" s="9" t="inlineStr">
        <is>
          <t>verified signsinchattanooga.com live; 20+ yrs</t>
        </is>
      </c>
    </row>
    <row r="535">
      <c r="A535" s="13" t="inlineStr">
        <is>
          <t>B</t>
        </is>
      </c>
      <c r="B535" s="9" t="inlineStr">
        <is>
          <t>Not phone re-checked</t>
        </is>
      </c>
      <c r="C535" s="9" t="inlineStr">
        <is>
          <t>S&amp;S Auto Repair</t>
        </is>
      </c>
      <c r="D535" s="9" t="inlineStr">
        <is>
          <t>Auto Repair</t>
        </is>
      </c>
      <c r="E535" s="9" t="inlineStr">
        <is>
          <t>(423) 855-3436</t>
        </is>
      </c>
      <c r="F535" s="9" t="inlineStr">
        <is>
          <t>Hixson</t>
        </is>
      </c>
      <c r="G535" s="9" t="inlineStr">
        <is>
          <t>4606 Hixson Pike</t>
        </is>
      </c>
      <c r="H535" s="9" t="inlineStr">
        <is>
          <t>37343</t>
        </is>
      </c>
      <c r="I535" s="9" t="n"/>
      <c r="J535" s="9" t="inlineStr">
        <is>
          <t>ssautorepair.net</t>
        </is>
      </c>
      <c r="K535" s="10" t="n"/>
      <c r="L535" s="10" t="n"/>
      <c r="M535" s="10" t="n"/>
      <c r="N535" s="10" t="n"/>
      <c r="O535" s="9" t="inlineStr">
        <is>
          <t>Gap-filled 2026-09-04 by open search: the site was missed on the first pass because that pass could only search domains it already knew. Two working numbers - (423) 855-3436 reaches the Hixson shop directly, (423) 206-2702 is the appointment line that was previously in this row. Second location on Enterprise Park Drive; trading since 2001.</t>
        </is>
      </c>
    </row>
    <row r="536">
      <c r="A536" s="13" t="inlineStr">
        <is>
          <t>B</t>
        </is>
      </c>
      <c r="B536" s="9" t="inlineStr">
        <is>
          <t>Not phone re-checked</t>
        </is>
      </c>
      <c r="C536" s="9" t="inlineStr">
        <is>
          <t>Safe and Sound Security</t>
        </is>
      </c>
      <c r="D536" s="9" t="inlineStr">
        <is>
          <t>Alarm / Security Installation</t>
        </is>
      </c>
      <c r="E536" s="9" t="inlineStr">
        <is>
          <t>(423) 451-8755</t>
        </is>
      </c>
      <c r="F536" s="9" t="inlineStr">
        <is>
          <t>Chattanooga</t>
        </is>
      </c>
      <c r="G536" s="9" t="inlineStr">
        <is>
          <t>200 W ML King Blvd</t>
        </is>
      </c>
      <c r="H536" s="9" t="inlineStr">
        <is>
          <t>37402</t>
        </is>
      </c>
      <c r="I536" s="9" t="n"/>
      <c r="J536" s="9" t="inlineStr">
        <is>
          <t>getsafeandsound.com/locations/chattanooga</t>
        </is>
      </c>
      <c r="K536" s="10" t="n"/>
      <c r="L536" s="10" t="n"/>
      <c r="M536" s="10" t="n"/>
      <c r="N536" s="10" t="n"/>
      <c r="O536" s="9" t="inlineStr">
        <is>
          <t>verified getsafeandsound.com/locations/chattanooga live</t>
        </is>
      </c>
    </row>
    <row r="537">
      <c r="A537" s="13" t="inlineStr">
        <is>
          <t>B</t>
        </is>
      </c>
      <c r="B537" s="9" t="inlineStr">
        <is>
          <t>Not phone re-checked</t>
        </is>
      </c>
      <c r="C537" s="9" t="inlineStr">
        <is>
          <t>Scenic City Medical Equipment</t>
        </is>
      </c>
      <c r="D537" s="9" t="inlineStr">
        <is>
          <t>Durable Medical Equipment / Home Oxygen</t>
        </is>
      </c>
      <c r="E537" s="9" t="inlineStr">
        <is>
          <t>(423) 847-1202</t>
        </is>
      </c>
      <c r="F537" s="9" t="inlineStr">
        <is>
          <t>Hixson</t>
        </is>
      </c>
      <c r="G537" s="9" t="n"/>
      <c r="H537" s="9" t="inlineStr">
        <is>
          <t>37343</t>
        </is>
      </c>
      <c r="I537" s="9" t="n"/>
      <c r="J537" s="9" t="inlineStr">
        <is>
          <t>sceniccitymedical.org</t>
        </is>
      </c>
      <c r="K537" s="10" t="n"/>
      <c r="L537" s="10" t="n"/>
      <c r="M537" s="10" t="n"/>
      <c r="N537" s="10" t="n"/>
      <c r="O537" s="9" t="inlineStr">
        <is>
          <t>New lead. Delivers and sets up hospital beds, oxygen and wheelchairs - box vans in daily use. Site gives no street address; described as off Bonny Oaks near Hwy 153.</t>
        </is>
      </c>
    </row>
    <row r="538">
      <c r="A538" s="13" t="inlineStr">
        <is>
          <t>B</t>
        </is>
      </c>
      <c r="B538" s="9" t="inlineStr">
        <is>
          <t>Not phone re-checked</t>
        </is>
      </c>
      <c r="C538" s="9" t="inlineStr">
        <is>
          <t>Scenic City Septic Services</t>
        </is>
      </c>
      <c r="D538" s="9" t="inlineStr">
        <is>
          <t>Septic Tank Service / Pumping</t>
        </is>
      </c>
      <c r="E538" s="9" t="inlineStr">
        <is>
          <t>(423) 615-8520</t>
        </is>
      </c>
      <c r="F538" s="9" t="inlineStr">
        <is>
          <t>Soddy-Daisy</t>
        </is>
      </c>
      <c r="G538" s="9" t="inlineStr">
        <is>
          <t>719 McCallie Ferry Rd</t>
        </is>
      </c>
      <c r="H538" s="9" t="inlineStr">
        <is>
          <t>37379</t>
        </is>
      </c>
      <c r="I538" s="9" t="inlineStr">
        <is>
          <t>owner@sceniccityseptic.net</t>
        </is>
      </c>
      <c r="J538" s="9" t="inlineStr">
        <is>
          <t>sceniccityseptic.net</t>
        </is>
      </c>
      <c r="K538" s="10" t="n"/>
      <c r="L538" s="10" t="n"/>
      <c r="M538" s="10" t="n"/>
      <c r="N538" s="10" t="n"/>
      <c r="O538" s="9" t="inlineStr">
        <is>
          <t>verified sceniccityseptic.net live</t>
        </is>
      </c>
    </row>
    <row r="539">
      <c r="A539" s="13" t="inlineStr">
        <is>
          <t>B</t>
        </is>
      </c>
      <c r="B539" s="9" t="inlineStr">
        <is>
          <t>Not phone re-checked</t>
        </is>
      </c>
      <c r="C539" s="9" t="inlineStr">
        <is>
          <t>Scenic City Tile &amp; Granite</t>
        </is>
      </c>
      <c r="D539" s="9" t="inlineStr">
        <is>
          <t>Tile, Granite &amp; Countertop Supplier</t>
        </is>
      </c>
      <c r="E539" s="9" t="inlineStr">
        <is>
          <t>(423) 710-1959</t>
        </is>
      </c>
      <c r="F539" s="9" t="inlineStr">
        <is>
          <t>Chattanooga</t>
        </is>
      </c>
      <c r="G539" s="9" t="inlineStr">
        <is>
          <t>1308 East 23rd Street</t>
        </is>
      </c>
      <c r="H539" s="9" t="inlineStr">
        <is>
          <t>37404</t>
        </is>
      </c>
      <c r="I539" s="9" t="inlineStr">
        <is>
          <t>info@sceniccitytag.com</t>
        </is>
      </c>
      <c r="J539" s="9" t="inlineStr">
        <is>
          <t>chattanoogatileandgranite.com</t>
        </is>
      </c>
      <c r="K539" s="10" t="n"/>
      <c r="L539" s="10" t="n"/>
      <c r="M539" s="10" t="n"/>
      <c r="N539" s="10" t="n"/>
      <c r="O539" s="9" t="inlineStr">
        <is>
          <t>Slab delivery and install trucks, so a modest but real fleet. Their own site puts them on East 23rd Street, not the 2718 Rossville Boulevard on the record - worth checking whether they moved or run two sites.</t>
        </is>
      </c>
    </row>
    <row r="540">
      <c r="A540" s="13" t="inlineStr">
        <is>
          <t>B</t>
        </is>
      </c>
      <c r="B540" s="9" t="inlineStr">
        <is>
          <t>Not phone re-checked</t>
        </is>
      </c>
      <c r="C540" s="9" t="inlineStr">
        <is>
          <t>SDP Corp - SDP-Consultant Corp.</t>
        </is>
      </c>
      <c r="D540" s="9" t="inlineStr">
        <is>
          <t>Construction Management &amp; Consulting</t>
        </is>
      </c>
      <c r="E540" s="9" t="inlineStr">
        <is>
          <t>(423) 490-7400</t>
        </is>
      </c>
      <c r="F540" s="9" t="inlineStr">
        <is>
          <t>Chattanooga</t>
        </is>
      </c>
      <c r="G540" s="9" t="n"/>
      <c r="H540" s="9" t="inlineStr">
        <is>
          <t>37402</t>
        </is>
      </c>
      <c r="I540" s="9" t="inlineStr">
        <is>
          <t>info@sdpcorp.com</t>
        </is>
      </c>
      <c r="J540" s="9" t="inlineStr">
        <is>
          <t>sdp-consultants.com</t>
        </is>
      </c>
      <c r="K540" s="10" t="n"/>
      <c r="L540" s="10" t="n"/>
      <c r="M540" s="10" t="n"/>
      <c r="N540" s="10" t="n"/>
      <c r="O540" s="9" t="inlineStr">
        <is>
          <t>Consulting and construction management rather than self-performed work, so the fleet is staff cars visiting sites - held at B for that. Their contact page names the Chattanooga office but does not print the street, so the record's 714 Cherry Street Suite A-200 is left off.</t>
        </is>
      </c>
    </row>
    <row r="541">
      <c r="A541" s="13" t="inlineStr">
        <is>
          <t>B</t>
        </is>
      </c>
      <c r="B541" s="9" t="inlineStr">
        <is>
          <t>Not phone re-checked</t>
        </is>
      </c>
      <c r="C541" s="9" t="inlineStr">
        <is>
          <t>SEQUOYAH LAWN EQUIPMENT COMPANY, LLC</t>
        </is>
      </c>
      <c r="D541" s="9" t="inlineStr">
        <is>
          <t>Outdoor Power Equipment Sales &amp; Service</t>
        </is>
      </c>
      <c r="E541" s="9" t="inlineStr">
        <is>
          <t>(423) 629-6582</t>
        </is>
      </c>
      <c r="F541" s="9" t="inlineStr">
        <is>
          <t>Chattanooga</t>
        </is>
      </c>
      <c r="G541" s="9" t="inlineStr">
        <is>
          <t>3925 Volunteer Drive</t>
        </is>
      </c>
      <c r="H541" s="9" t="inlineStr">
        <is>
          <t>37416</t>
        </is>
      </c>
      <c r="I541" s="9" t="n"/>
      <c r="J541" s="9" t="inlineStr">
        <is>
          <t>sequoyahlawn.com</t>
        </is>
      </c>
      <c r="K541" s="10" t="n"/>
      <c r="L541" s="10" t="n"/>
      <c r="M541" s="10" t="n"/>
      <c r="N541" s="10" t="n"/>
      <c r="O541" s="9" t="inlineStr">
        <is>
          <t>Gap-filled 2026-09-04: phone added; the address on the row was already confirmed from their own site. They run their own pickup and delivery for mower repairs, and they sell to every lawn crew in the county - useful to know as well as to sell to.</t>
        </is>
      </c>
    </row>
    <row r="542">
      <c r="A542" s="13" t="inlineStr">
        <is>
          <t>B</t>
        </is>
      </c>
      <c r="B542" s="9" t="inlineStr">
        <is>
          <t>Not phone re-checked</t>
        </is>
      </c>
      <c r="C542" s="9" t="inlineStr">
        <is>
          <t>Set In Stone Concrete LLC</t>
        </is>
      </c>
      <c r="D542" s="9" t="inlineStr">
        <is>
          <t>Custom Concrete, Steel &amp; Wood Fabrication</t>
        </is>
      </c>
      <c r="E542" s="9" t="inlineStr">
        <is>
          <t>(423) 493-3657</t>
        </is>
      </c>
      <c r="F542" s="9" t="inlineStr">
        <is>
          <t>Chattanooga</t>
        </is>
      </c>
      <c r="G542" s="9" t="inlineStr">
        <is>
          <t>1222 East Main Street</t>
        </is>
      </c>
      <c r="H542" s="9" t="inlineStr">
        <is>
          <t>37408</t>
        </is>
      </c>
      <c r="I542" s="9" t="n"/>
      <c r="J542" s="9" t="inlineStr">
        <is>
          <t>concretecaster.com</t>
        </is>
      </c>
      <c r="K542" s="10" t="n"/>
      <c r="L542" s="10" t="n"/>
      <c r="M542" s="10" t="n"/>
      <c r="N542" s="10" t="n"/>
      <c r="O542" s="9" t="inlineStr">
        <is>
          <t>A fabrication studio rather than a concrete contractor - the record's 'construction company' description undersells what they actually do. Heavy custom pieces mean a delivery truck, so a modest fleet. Their own site confirms the East Main Street address. No email published.</t>
        </is>
      </c>
    </row>
    <row r="543">
      <c r="A543" s="13" t="inlineStr">
        <is>
          <t>B</t>
        </is>
      </c>
      <c r="B543" s="9" t="inlineStr">
        <is>
          <t>Not phone re-checked</t>
        </is>
      </c>
      <c r="C543" s="9" t="inlineStr">
        <is>
          <t>Shine the Light Electric Company</t>
        </is>
      </c>
      <c r="D543" s="9" t="inlineStr">
        <is>
          <t>Electrical Contractor</t>
        </is>
      </c>
      <c r="E543" s="9" t="inlineStr">
        <is>
          <t>(423) 710-4770</t>
        </is>
      </c>
      <c r="F543" s="9" t="inlineStr">
        <is>
          <t>Hixson</t>
        </is>
      </c>
      <c r="G543" s="9" t="inlineStr">
        <is>
          <t>5228 Hixson Pike Suite G</t>
        </is>
      </c>
      <c r="H543" s="9" t="inlineStr">
        <is>
          <t>37343</t>
        </is>
      </c>
      <c r="I543" s="9" t="n"/>
      <c r="J543" s="9" t="n"/>
      <c r="K543" s="10" t="n"/>
      <c r="L543" s="10" t="n"/>
      <c r="M543" s="10" t="n"/>
      <c r="N543" s="10" t="n"/>
      <c r="O543" s="9" t="inlineStr">
        <is>
          <t>Gap-filled 2026-09-04: the row had no phone and the suite was wrong - listings say Suite G, the row said Suite B. Both corrected. No official website; they trade through Instagram as @stlelectric. Ask for Mike Johnson.</t>
        </is>
      </c>
    </row>
    <row r="544">
      <c r="A544" s="13" t="inlineStr">
        <is>
          <t>B</t>
        </is>
      </c>
      <c r="B544" s="9" t="inlineStr">
        <is>
          <t>Not phone re-checked</t>
        </is>
      </c>
      <c r="C544" s="9" t="inlineStr">
        <is>
          <t>Signal Mountain Cleaners</t>
        </is>
      </c>
      <c r="D544" s="9" t="inlineStr">
        <is>
          <t>Dry Cleaning / Laundry</t>
        </is>
      </c>
      <c r="E544" s="9" t="inlineStr">
        <is>
          <t>(423) 886-1371</t>
        </is>
      </c>
      <c r="F544" s="9" t="inlineStr">
        <is>
          <t>Signal Mountain</t>
        </is>
      </c>
      <c r="G544" s="9" t="inlineStr">
        <is>
          <t>821 Mississippi Ave</t>
        </is>
      </c>
      <c r="H544" s="9" t="inlineStr">
        <is>
          <t>37377</t>
        </is>
      </c>
      <c r="I544" s="9" t="n"/>
      <c r="J544" s="9" t="n"/>
      <c r="K544" s="10" t="n"/>
      <c r="L544" s="10" t="n"/>
      <c r="M544" s="10" t="n"/>
      <c r="N544" s="10" t="n"/>
      <c r="O544" s="9" t="inlineStr">
        <is>
          <t>Gap-filled 2026-09-04: no official website. WARNING - one listing marks this business CLOSED, so confirm before spending time on it. Phone and address otherwise unchanged. Ask for Nanci Kelly.</t>
        </is>
      </c>
    </row>
    <row r="545">
      <c r="A545" s="13" t="inlineStr">
        <is>
          <t>B</t>
        </is>
      </c>
      <c r="B545" s="9" t="inlineStr">
        <is>
          <t>Not phone re-checked</t>
        </is>
      </c>
      <c r="C545" s="9" t="inlineStr">
        <is>
          <t>Signal Mountain Electric, LLC</t>
        </is>
      </c>
      <c r="D545" s="9" t="inlineStr">
        <is>
          <t>Electrical Contractor</t>
        </is>
      </c>
      <c r="E545" s="9" t="inlineStr">
        <is>
          <t>(423) 591-1632</t>
        </is>
      </c>
      <c r="F545" s="9" t="inlineStr">
        <is>
          <t>Signal Mountain</t>
        </is>
      </c>
      <c r="G545" s="9" t="inlineStr">
        <is>
          <t>1136 James Boulevard</t>
        </is>
      </c>
      <c r="H545" s="9" t="inlineStr">
        <is>
          <t>37377</t>
        </is>
      </c>
      <c r="I545" s="9" t="n"/>
      <c r="J545" s="9" t="inlineStr">
        <is>
          <t>signal-electric.com</t>
        </is>
      </c>
      <c r="K545" s="10" t="n"/>
      <c r="L545" s="10" t="n"/>
      <c r="M545" s="10" t="n"/>
      <c r="N545" s="10" t="n"/>
      <c r="O545" s="9" t="inlineStr">
        <is>
          <t>Gap-filled 2026-09-04: website added, phone and address already in the row confirmed unchanged.</t>
        </is>
      </c>
    </row>
    <row r="546">
      <c r="A546" s="13" t="inlineStr">
        <is>
          <t>B</t>
        </is>
      </c>
      <c r="B546" s="9" t="inlineStr">
        <is>
          <t>Not phone re-checked</t>
        </is>
      </c>
      <c r="C546" s="9" t="inlineStr">
        <is>
          <t>Signal Power</t>
        </is>
      </c>
      <c r="D546" s="9" t="inlineStr">
        <is>
          <t>Light Tower &amp; Trailer Manufacturer</t>
        </is>
      </c>
      <c r="E546" s="9" t="inlineStr">
        <is>
          <t>(423) 332-1086</t>
        </is>
      </c>
      <c r="F546" s="9" t="inlineStr">
        <is>
          <t>Chattanooga</t>
        </is>
      </c>
      <c r="G546" s="9" t="inlineStr">
        <is>
          <t>3500 North Hawthorne Street</t>
        </is>
      </c>
      <c r="H546" s="9" t="inlineStr">
        <is>
          <t>37406</t>
        </is>
      </c>
      <c r="I546" s="9" t="n"/>
      <c r="J546" s="9" t="inlineStr">
        <is>
          <t>hybridledlighttower.com</t>
        </is>
      </c>
      <c r="K546" s="10" t="n"/>
      <c r="L546" s="10" t="n"/>
      <c r="M546" s="10" t="n"/>
      <c r="N546" s="10" t="n"/>
      <c r="O546" s="9" t="inlineStr">
        <is>
          <t>They build trailer-mounted light towers, so there are shop trucks and demo trailers moving, but the units themselves are towed by the customer - held at B. The only email address published on their own site is privacy@signal-power.com, which is the privacy-policy contact rather than a sales route, so it is not recorded as the company email; note the separate signal-power.com domain when you call.</t>
        </is>
      </c>
    </row>
    <row r="547">
      <c r="A547" s="13" t="inlineStr">
        <is>
          <t>B</t>
        </is>
      </c>
      <c r="B547" s="9" t="inlineStr">
        <is>
          <t>Not phone re-checked</t>
        </is>
      </c>
      <c r="C547" s="9" t="inlineStr">
        <is>
          <t>SimplyOutdoorKitchens.com</t>
        </is>
      </c>
      <c r="D547" s="9" t="inlineStr">
        <is>
          <t>Outdoor Kitchen Manufacturer &amp; Installer</t>
        </is>
      </c>
      <c r="E547" s="9" t="inlineStr">
        <is>
          <t>(423) 874-6883</t>
        </is>
      </c>
      <c r="F547" s="9" t="inlineStr">
        <is>
          <t>Chattanooga</t>
        </is>
      </c>
      <c r="G547" s="9" t="inlineStr">
        <is>
          <t>1100 Market Street Suite 600</t>
        </is>
      </c>
      <c r="H547" s="9" t="inlineStr">
        <is>
          <t>37402</t>
        </is>
      </c>
      <c r="I547" s="9" t="inlineStr">
        <is>
          <t>dermenc@simplyoutdoorkitchens.com</t>
        </is>
      </c>
      <c r="J547" s="9" t="inlineStr">
        <is>
          <t>simplyoutdoorkitchens.com</t>
        </is>
      </c>
      <c r="K547" s="10" t="n"/>
      <c r="L547" s="10" t="n"/>
      <c r="M547" s="10" t="n"/>
      <c r="N547" s="10" t="n"/>
      <c r="O547" s="9" t="inlineStr">
        <is>
          <t>Gap-filled 2026-09-04: phone added - the row previously had only an email. Two numbers circulate; try (423) 874-6883 first, then (423) 218-9370. Single-day installs of finished kitchen islands mean a truck and trailer on residential driveways.</t>
        </is>
      </c>
    </row>
    <row r="548">
      <c r="A548" s="13" t="inlineStr">
        <is>
          <t>B</t>
        </is>
      </c>
      <c r="B548" s="9" t="inlineStr">
        <is>
          <t>Not phone re-checked</t>
        </is>
      </c>
      <c r="C548" s="9" t="inlineStr">
        <is>
          <t>SiteOne Landscape Supply (Ooltewah)</t>
        </is>
      </c>
      <c r="D548" s="9" t="inlineStr">
        <is>
          <t>Landscape/Agricultural Wholesale Distribution</t>
        </is>
      </c>
      <c r="E548" s="9" t="inlineStr">
        <is>
          <t>(423) 238-7273</t>
        </is>
      </c>
      <c r="F548" s="9" t="inlineStr">
        <is>
          <t>Ooltewah</t>
        </is>
      </c>
      <c r="G548" s="9" t="inlineStr">
        <is>
          <t>6815 Mountain View Rd</t>
        </is>
      </c>
      <c r="H548" s="9" t="inlineStr">
        <is>
          <t>37363</t>
        </is>
      </c>
      <c r="I548" s="9" t="n"/>
      <c r="J548" s="9" t="inlineStr">
        <is>
          <t>siteone.com</t>
        </is>
      </c>
      <c r="K548" s="10" t="n"/>
      <c r="L548" s="10" t="n"/>
      <c r="M548" s="10" t="n"/>
      <c r="N548" s="10" t="n"/>
      <c r="O548" s="9" t="inlineStr">
        <is>
          <t>verified siteone.com store 198 live</t>
        </is>
      </c>
    </row>
    <row r="549">
      <c r="A549" s="13" t="inlineStr">
        <is>
          <t>B</t>
        </is>
      </c>
      <c r="B549" s="9" t="inlineStr">
        <is>
          <t>Not phone re-checked</t>
        </is>
      </c>
      <c r="C549" s="9" t="inlineStr">
        <is>
          <t>South Side Auto Sales &amp; Services</t>
        </is>
      </c>
      <c r="D549" s="9" t="inlineStr">
        <is>
          <t>Used Car Dealership</t>
        </is>
      </c>
      <c r="E549" s="9" t="inlineStr">
        <is>
          <t>(423) 332-3030</t>
        </is>
      </c>
      <c r="F549" s="9" t="inlineStr">
        <is>
          <t>Soddy-Daisy</t>
        </is>
      </c>
      <c r="G549" s="9" t="inlineStr">
        <is>
          <t>9548 Dayton Pike</t>
        </is>
      </c>
      <c r="H549" s="9" t="inlineStr">
        <is>
          <t>37379</t>
        </is>
      </c>
      <c r="I549" s="9" t="n"/>
      <c r="J549" s="9" t="inlineStr">
        <is>
          <t>south-services.edan.io</t>
        </is>
      </c>
      <c r="K549" s="10" t="n"/>
      <c r="L549" s="10" t="n"/>
      <c r="M549" s="10" t="n"/>
      <c r="N549" s="10" t="n"/>
      <c r="O549" s="9" t="inlineStr">
        <is>
          <t>verified; 9548 Dayton Pike; alt phone 423-332-7295</t>
        </is>
      </c>
    </row>
    <row r="550">
      <c r="A550" s="13" t="inlineStr">
        <is>
          <t>B</t>
        </is>
      </c>
      <c r="B550" s="9" t="inlineStr">
        <is>
          <t>Not phone re-checked</t>
        </is>
      </c>
      <c r="C550" s="9" t="inlineStr">
        <is>
          <t>Speedy's Hixson Transmission and Total Car Care</t>
        </is>
      </c>
      <c r="D550" s="9" t="inlineStr">
        <is>
          <t>Auto Repair / Transmission</t>
        </is>
      </c>
      <c r="E550" s="9" t="inlineStr">
        <is>
          <t>(423) 875-2276</t>
        </is>
      </c>
      <c r="F550" s="9" t="inlineStr">
        <is>
          <t>Hixson</t>
        </is>
      </c>
      <c r="G550" s="9" t="inlineStr">
        <is>
          <t>5128 Hixson Pike</t>
        </is>
      </c>
      <c r="H550" s="9" t="inlineStr">
        <is>
          <t>37343</t>
        </is>
      </c>
      <c r="I550" s="9" t="inlineStr">
        <is>
          <t>profoverdrive@comcast.net</t>
        </is>
      </c>
      <c r="J550" s="9" t="inlineStr">
        <is>
          <t>hixsontransmission.com</t>
        </is>
      </c>
      <c r="K550" s="10" t="n"/>
      <c r="L550" s="10" t="n"/>
      <c r="M550" s="10" t="n"/>
      <c r="N550" s="10" t="n"/>
      <c r="O550" s="9" t="inlineStr">
        <is>
          <t>NEW LEAD. Business-run page: address, phone, email and website confirmed. Three locations serving Hixson, Soddy-Daisy and greater Chattanooga; also trades as Speedy's Oil &amp; Auto.</t>
        </is>
      </c>
    </row>
    <row r="551">
      <c r="A551" s="13" t="inlineStr">
        <is>
          <t>B</t>
        </is>
      </c>
      <c r="B551" s="9" t="inlineStr">
        <is>
          <t>Not phone re-checked</t>
        </is>
      </c>
      <c r="C551" s="9" t="inlineStr">
        <is>
          <t>Spray-Lock Concrete Protection (SCP)</t>
        </is>
      </c>
      <c r="D551" s="9" t="inlineStr">
        <is>
          <t>Concrete Protection Products Manufacturer</t>
        </is>
      </c>
      <c r="E551" s="9" t="inlineStr">
        <is>
          <t>(423) 305-6151</t>
        </is>
      </c>
      <c r="F551" s="9" t="inlineStr">
        <is>
          <t>Chattanooga</t>
        </is>
      </c>
      <c r="G551" s="9" t="inlineStr">
        <is>
          <t>5959 Shallowford Road Suite 405</t>
        </is>
      </c>
      <c r="H551" s="9" t="inlineStr">
        <is>
          <t>37421</t>
        </is>
      </c>
      <c r="I551" s="9" t="inlineStr">
        <is>
          <t>scpleads@spraylock.com</t>
        </is>
      </c>
      <c r="J551" s="9" t="inlineStr">
        <is>
          <t>concreteprotection.com</t>
        </is>
      </c>
      <c r="K551" s="10" t="n"/>
      <c r="L551" s="10" t="n"/>
      <c r="M551" s="10" t="n"/>
      <c r="N551" s="10" t="n"/>
      <c r="O551" s="9" t="inlineStr">
        <is>
          <t>A colloidal silica manufacturer at 51-200 staff, so technical reps travelling to pours rather than a crew fleet - held at B. The Shallowford Road suite matches the record. Note the company answers on two domains, concreteprotection.com and spraylock.com.</t>
        </is>
      </c>
    </row>
    <row r="552">
      <c r="A552" s="13" t="inlineStr">
        <is>
          <t>B</t>
        </is>
      </c>
      <c r="B552" s="9" t="inlineStr">
        <is>
          <t>Not phone re-checked</t>
        </is>
      </c>
      <c r="C552" s="9" t="inlineStr">
        <is>
          <t>Stanford Plumbing &amp; Heating Co.</t>
        </is>
      </c>
      <c r="D552" s="9" t="inlineStr">
        <is>
          <t>Plumbing / HVAC</t>
        </is>
      </c>
      <c r="E552" s="9" t="inlineStr">
        <is>
          <t>(423) 877-0767</t>
        </is>
      </c>
      <c r="F552" s="9" t="inlineStr">
        <is>
          <t>Hixson</t>
        </is>
      </c>
      <c r="G552" s="9" t="inlineStr">
        <is>
          <t>5519 Hixson Pike</t>
        </is>
      </c>
      <c r="H552" s="9" t="inlineStr">
        <is>
          <t>37343</t>
        </is>
      </c>
      <c r="I552" s="9" t="n"/>
      <c r="J552" s="9" t="n"/>
      <c r="K552" s="10" t="n"/>
      <c r="L552" s="10" t="n"/>
      <c r="M552" s="10" t="n"/>
      <c r="N552" s="10" t="n"/>
      <c r="O552" s="9" t="inlineStr">
        <is>
          <t>Gap-filled 2026-09-04: the row was completely empty - no phone, no address, no website - and now has both. No official website exists. Ask for Charles or Bradley Stanford. Note a separate Stanford Brothers Plumbing also trades in Hixson, so confirm which one you have.</t>
        </is>
      </c>
    </row>
    <row r="553">
      <c r="A553" s="13" t="inlineStr">
        <is>
          <t>B</t>
        </is>
      </c>
      <c r="B553" s="9" t="inlineStr">
        <is>
          <t>Not phone re-checked</t>
        </is>
      </c>
      <c r="C553" s="9" t="inlineStr">
        <is>
          <t>STATEWIDE SIDING SUPPLY, INC.</t>
        </is>
      </c>
      <c r="D553" s="9" t="inlineStr">
        <is>
          <t>Siding Supply &amp; Installation</t>
        </is>
      </c>
      <c r="E553" s="9" t="inlineStr">
        <is>
          <t>(423) 892-0126</t>
        </is>
      </c>
      <c r="F553" s="9" t="inlineStr">
        <is>
          <t>Chattanooga</t>
        </is>
      </c>
      <c r="G553" s="9" t="n"/>
      <c r="H553" s="9" t="inlineStr">
        <is>
          <t>37421</t>
        </is>
      </c>
      <c r="I553" s="9" t="n"/>
      <c r="J553" s="9" t="inlineStr">
        <is>
          <t>residewithstatewide.com</t>
        </is>
      </c>
      <c r="K553" s="10" t="n"/>
      <c r="L553" s="10" t="n"/>
      <c r="M553" s="10" t="n"/>
      <c r="N553" s="10" t="n"/>
      <c r="O553" s="9" t="inlineStr">
        <is>
          <t>Held at B: a toll-free line suggests a real supply operation with delivery trucks, but their own site prints no address, and the Shadow Point Circle address on the record reads residential, so it is unclear whether there is a yard behind this. Ask when you call.</t>
        </is>
      </c>
    </row>
    <row r="554">
      <c r="A554" s="13" t="inlineStr">
        <is>
          <t>B</t>
        </is>
      </c>
      <c r="B554" s="9" t="inlineStr">
        <is>
          <t>Not phone re-checked</t>
        </is>
      </c>
      <c r="C554" s="9" t="inlineStr">
        <is>
          <t>Storey Trucking Company (Chattanooga branch)</t>
        </is>
      </c>
      <c r="D554" s="9" t="inlineStr">
        <is>
          <t>Trucking</t>
        </is>
      </c>
      <c r="E554" s="9" t="inlineStr">
        <is>
          <t>(423) 206-2290</t>
        </is>
      </c>
      <c r="F554" s="9" t="inlineStr">
        <is>
          <t>Chattanooga</t>
        </is>
      </c>
      <c r="G554" s="9" t="inlineStr">
        <is>
          <t>3015 Alton Park Blvd</t>
        </is>
      </c>
      <c r="H554" s="9" t="inlineStr">
        <is>
          <t>37410</t>
        </is>
      </c>
      <c r="I554" s="9" t="inlineStr">
        <is>
          <t>info@storeytrucking.com</t>
        </is>
      </c>
      <c r="J554" s="9" t="inlineStr">
        <is>
          <t>storeytrucking.com</t>
        </is>
      </c>
      <c r="K554" s="10" t="n"/>
      <c r="L554" s="10" t="n"/>
      <c r="M554" s="10" t="n"/>
      <c r="N554" s="10" t="n"/>
      <c r="O554" s="9" t="inlineStr">
        <is>
          <t>verified storeytrucking.com live; email confirmed</t>
        </is>
      </c>
    </row>
    <row r="555">
      <c r="A555" s="13" t="inlineStr">
        <is>
          <t>B</t>
        </is>
      </c>
      <c r="B555" s="9" t="inlineStr">
        <is>
          <t>Not phone re-checked</t>
        </is>
      </c>
      <c r="C555" s="9" t="inlineStr">
        <is>
          <t>StoryPoint Hixson</t>
        </is>
      </c>
      <c r="D555" s="9" t="inlineStr">
        <is>
          <t>Independent / Assisted Living / Memory Care</t>
        </is>
      </c>
      <c r="E555" s="9" t="inlineStr">
        <is>
          <t>(423) 641-0397</t>
        </is>
      </c>
      <c r="F555" s="9" t="inlineStr">
        <is>
          <t>Hixson</t>
        </is>
      </c>
      <c r="G555" s="9" t="inlineStr">
        <is>
          <t>2760 Northpoint Blvd</t>
        </is>
      </c>
      <c r="H555" s="9" t="inlineStr">
        <is>
          <t>37343</t>
        </is>
      </c>
      <c r="I555" s="9" t="n"/>
      <c r="J555" s="9" t="inlineStr">
        <is>
          <t>storypoint.com/community/hixson-tn</t>
        </is>
      </c>
      <c r="K555" s="10" t="n"/>
      <c r="L555" s="10" t="n"/>
      <c r="M555" s="10" t="n"/>
      <c r="N555" s="10" t="n"/>
      <c r="O555" s="9" t="inlineStr">
        <is>
          <t>New lead. Two buildings means more resident transport vehicles than a single community. No email published.</t>
        </is>
      </c>
    </row>
    <row r="556">
      <c r="A556" s="13" t="inlineStr">
        <is>
          <t>B</t>
        </is>
      </c>
      <c r="B556" s="9" t="inlineStr">
        <is>
          <t>Not phone re-checked</t>
        </is>
      </c>
      <c r="C556" s="9" t="inlineStr">
        <is>
          <t>Sunrise EZ Dumpster Rentals</t>
        </is>
      </c>
      <c r="D556" s="9" t="inlineStr">
        <is>
          <t>Dumpster / Dump Trailer Rental</t>
        </is>
      </c>
      <c r="E556" s="9" t="inlineStr">
        <is>
          <t>(310) 430-0076</t>
        </is>
      </c>
      <c r="F556" s="9" t="inlineStr">
        <is>
          <t>Hixson</t>
        </is>
      </c>
      <c r="G556" s="9" t="n"/>
      <c r="H556" s="9" t="inlineStr">
        <is>
          <t>37343</t>
        </is>
      </c>
      <c r="I556" s="9" t="n"/>
      <c r="J556" s="9" t="n"/>
      <c r="K556" s="10" t="n"/>
      <c r="L556" s="10" t="n"/>
      <c r="M556" s="10" t="n"/>
      <c r="N556" s="10" t="n"/>
      <c r="O556" s="9" t="inlineStr">
        <is>
          <t>WRONG NUMBER FLAGGED 2026-09-04, not corrected because no right answer could be found. The row holds (310) 430-0076 - a 310 area code, which is LOS ANGELES, not Chattanooga. An open search finds no trace of a Sunrise EZ Dumpster in Hixson at all; the results return only other dumpster firms. Treat this row as unreliable: either the business is gone or the record was bad from the start. Do not dial the 310 number expecting a local skip company.</t>
        </is>
      </c>
    </row>
    <row r="557">
      <c r="A557" s="13" t="inlineStr">
        <is>
          <t>B</t>
        </is>
      </c>
      <c r="B557" s="9" t="inlineStr">
        <is>
          <t>Not phone re-checked</t>
        </is>
      </c>
      <c r="C557" s="9" t="inlineStr">
        <is>
          <t>T Gene Edwards, Inc.</t>
        </is>
      </c>
      <c r="D557" s="9" t="inlineStr">
        <is>
          <t>Commercial General Contractor</t>
        </is>
      </c>
      <c r="E557" s="9" t="inlineStr">
        <is>
          <t>(423) 629-5828</t>
        </is>
      </c>
      <c r="F557" s="9" t="inlineStr">
        <is>
          <t>Chattanooga</t>
        </is>
      </c>
      <c r="G557" s="9" t="inlineStr">
        <is>
          <t>1309 Appling Street</t>
        </is>
      </c>
      <c r="H557" s="9" t="inlineStr">
        <is>
          <t>37406</t>
        </is>
      </c>
      <c r="I557" s="9" t="n"/>
      <c r="J557" s="9" t="inlineStr">
        <is>
          <t>tgeneedwards.com</t>
        </is>
      </c>
      <c r="K557" s="10" t="n"/>
      <c r="L557" s="10" t="n"/>
      <c r="M557" s="10" t="n"/>
      <c r="N557" s="10" t="n"/>
      <c r="O557" s="9" t="inlineStr">
        <is>
          <t>Commercial and manufacturing construction, but only 1-10 staff, so most trades are subcontracted and the owned fleet is small - held at B. Their own site confirms the record's Appling Street address. No email published.</t>
        </is>
      </c>
    </row>
    <row r="558">
      <c r="A558" s="13" t="inlineStr">
        <is>
          <t>B</t>
        </is>
      </c>
      <c r="B558" s="9" t="inlineStr">
        <is>
          <t>Not phone re-checked</t>
        </is>
      </c>
      <c r="C558" s="9" t="inlineStr">
        <is>
          <t>Taimen Transport</t>
        </is>
      </c>
      <c r="D558" s="9" t="inlineStr">
        <is>
          <t>Third Party Logistics (3PL)</t>
        </is>
      </c>
      <c r="E558" s="9" t="inlineStr">
        <is>
          <t>(423) 693-0280</t>
        </is>
      </c>
      <c r="F558" s="9" t="inlineStr">
        <is>
          <t>Chattanooga</t>
        </is>
      </c>
      <c r="G558" s="9" t="n"/>
      <c r="H558" s="9" t="inlineStr">
        <is>
          <t>37421</t>
        </is>
      </c>
      <c r="I558" s="9" t="inlineStr">
        <is>
          <t>ship@taimentransport.com</t>
        </is>
      </c>
      <c r="J558" s="9" t="inlineStr">
        <is>
          <t>taimentransport.com</t>
        </is>
      </c>
      <c r="K558" s="10" t="n"/>
      <c r="L558" s="10" t="n"/>
      <c r="M558" s="10" t="n"/>
      <c r="N558" s="10" t="n"/>
      <c r="O558" s="9" t="inlineStr">
        <is>
          <t>Held at B despite the truck transportation label: a 3PL brokers freight onto other carriers' trucks, so the vehicles they own are staff cars, not the fleet the record implies. Their own site prints no street address, so the record's 1209 Pointe Centre Drive Suite 205 is left off - note that is the same building as Pointe General Contractors.</t>
        </is>
      </c>
    </row>
    <row r="559">
      <c r="A559" s="13" t="inlineStr">
        <is>
          <t>B</t>
        </is>
      </c>
      <c r="B559" s="9" t="inlineStr">
        <is>
          <t>Not phone re-checked</t>
        </is>
      </c>
      <c r="C559" s="9" t="inlineStr">
        <is>
          <t>TALCO INDUSTRIAL CHEMICALS, INC.</t>
        </is>
      </c>
      <c r="D559" s="9" t="inlineStr">
        <is>
          <t>Industrial &amp; Janitorial Chemicals</t>
        </is>
      </c>
      <c r="E559" s="9" t="inlineStr">
        <is>
          <t>(423) 396-4366</t>
        </is>
      </c>
      <c r="F559" s="9" t="inlineStr">
        <is>
          <t>Ooltewah</t>
        </is>
      </c>
      <c r="G559" s="9" t="inlineStr">
        <is>
          <t>P.O. Box 631</t>
        </is>
      </c>
      <c r="H559" s="9" t="inlineStr">
        <is>
          <t>37363</t>
        </is>
      </c>
      <c r="I559" s="9" t="inlineStr">
        <is>
          <t>tal.abernathy@gmail.com</t>
        </is>
      </c>
      <c r="J559" s="9" t="inlineStr">
        <is>
          <t>talcoindustrialchemicals.com</t>
        </is>
      </c>
      <c r="K559" s="10" t="n"/>
      <c r="L559" s="10" t="n"/>
      <c r="M559" s="10" t="n"/>
      <c r="N559" s="10" t="n"/>
      <c r="O559" s="9" t="inlineStr">
        <is>
          <t>Chemical distributors deliver drums and totes on their own trucks, so a modest fleet. Two things to note: their own site gives only a PO Box, not the 5906 Main Street on the record, and they carry an automotive specialty line - so they sell to shops like yours and may be worth a supplier conversation as well as a sales call. Tal Abernathy is the named contact.</t>
        </is>
      </c>
    </row>
    <row r="560">
      <c r="A560" s="13" t="inlineStr">
        <is>
          <t>B</t>
        </is>
      </c>
      <c r="B560" s="9" t="inlineStr">
        <is>
          <t>Not phone re-checked</t>
        </is>
      </c>
      <c r="C560" s="9" t="inlineStr">
        <is>
          <t>Tallent Construction</t>
        </is>
      </c>
      <c r="D560" s="9" t="inlineStr">
        <is>
          <t>General Contractor</t>
        </is>
      </c>
      <c r="E560" s="9" t="inlineStr">
        <is>
          <t>(423) 344-5499</t>
        </is>
      </c>
      <c r="F560" s="9" t="inlineStr">
        <is>
          <t>Harrison</t>
        </is>
      </c>
      <c r="G560" s="9" t="inlineStr">
        <is>
          <t>5700 Clark Rd</t>
        </is>
      </c>
      <c r="H560" s="9" t="inlineStr">
        <is>
          <t>37341</t>
        </is>
      </c>
      <c r="I560" s="9" t="n"/>
      <c r="J560" s="9" t="inlineStr">
        <is>
          <t>roofingchattanooga.com</t>
        </is>
      </c>
      <c r="K560" s="10" t="n"/>
      <c r="L560" s="10" t="n"/>
      <c r="M560" s="10" t="n"/>
      <c r="N560" s="10" t="n"/>
      <c r="O560" s="9" t="inlineStr">
        <is>
          <t>Business-run page: address and phone confirmed, and found their website roofingchattanooga.com - the sheet had none. Family owned roofing contractor of 40+ years.</t>
        </is>
      </c>
    </row>
    <row r="561">
      <c r="A561" s="13" t="inlineStr">
        <is>
          <t>B</t>
        </is>
      </c>
      <c r="B561" s="9" t="inlineStr">
        <is>
          <t>Not phone re-checked</t>
        </is>
      </c>
      <c r="C561" s="9" t="inlineStr">
        <is>
          <t>TBD Logistics</t>
        </is>
      </c>
      <c r="D561" s="9" t="inlineStr">
        <is>
          <t>Courier / Delivery / Logistics</t>
        </is>
      </c>
      <c r="E561" s="9" t="inlineStr">
        <is>
          <t>(423) 421-2744</t>
        </is>
      </c>
      <c r="F561" s="9" t="inlineStr">
        <is>
          <t>Chattanooga</t>
        </is>
      </c>
      <c r="G561" s="9" t="inlineStr">
        <is>
          <t>5901 Shallowford Rd</t>
        </is>
      </c>
      <c r="H561" s="9" t="inlineStr">
        <is>
          <t>37421</t>
        </is>
      </c>
      <c r="I561" s="9" t="inlineStr">
        <is>
          <t>rebekah@tbdlogistics.com</t>
        </is>
      </c>
      <c r="J561" s="9" t="inlineStr">
        <is>
          <t>tbdlogisticsinc.com</t>
        </is>
      </c>
      <c r="K561" s="10" t="n"/>
      <c r="L561" s="10" t="n"/>
      <c r="M561" s="10" t="n"/>
      <c r="N561" s="10" t="n"/>
      <c r="O561" s="9" t="inlineStr">
        <is>
          <t>verified tbdlogisticsinc.com live; alt phone 423-805-7777</t>
        </is>
      </c>
    </row>
    <row r="562">
      <c r="A562" s="13" t="inlineStr">
        <is>
          <t>B</t>
        </is>
      </c>
      <c r="B562" s="9" t="inlineStr">
        <is>
          <t>Not phone re-checked</t>
        </is>
      </c>
      <c r="C562" s="9" t="inlineStr">
        <is>
          <t>Tennessee American Water</t>
        </is>
      </c>
      <c r="D562" s="9" t="inlineStr">
        <is>
          <t>Utility (Water)</t>
        </is>
      </c>
      <c r="E562" s="9" t="inlineStr">
        <is>
          <t>866-736-6420</t>
        </is>
      </c>
      <c r="F562" s="9" t="inlineStr">
        <is>
          <t>Chattanooga</t>
        </is>
      </c>
      <c r="G562" s="9" t="inlineStr">
        <is>
          <t>109 Wiehl St</t>
        </is>
      </c>
      <c r="H562" s="9" t="inlineStr">
        <is>
          <t>37403</t>
        </is>
      </c>
      <c r="I562" s="9" t="n"/>
      <c r="J562" s="9" t="inlineStr">
        <is>
          <t>amwater.com/tnaw</t>
        </is>
      </c>
      <c r="K562" s="10" t="n"/>
      <c r="L562" s="10" t="n"/>
      <c r="M562" s="10" t="n"/>
      <c r="N562" s="10" t="n"/>
      <c r="O562" s="9" t="inlineStr">
        <is>
          <t>verified amwater.com/tnaw live</t>
        </is>
      </c>
    </row>
    <row r="563">
      <c r="A563" s="13" t="inlineStr">
        <is>
          <t>B</t>
        </is>
      </c>
      <c r="B563" s="9" t="inlineStr">
        <is>
          <t>Not phone re-checked</t>
        </is>
      </c>
      <c r="C563" s="9" t="inlineStr">
        <is>
          <t>The Chattanooga Building Co</t>
        </is>
      </c>
      <c r="D563" s="9" t="inlineStr">
        <is>
          <t>Residential Builder &amp; Outdoor Living</t>
        </is>
      </c>
      <c r="E563" s="9" t="inlineStr">
        <is>
          <t>(423) 529-0916</t>
        </is>
      </c>
      <c r="F563" s="9" t="inlineStr">
        <is>
          <t>Chattanooga</t>
        </is>
      </c>
      <c r="G563" s="9" t="inlineStr">
        <is>
          <t>3712 Ringgold Road Suite 215</t>
        </is>
      </c>
      <c r="H563" s="9" t="inlineStr">
        <is>
          <t>37404</t>
        </is>
      </c>
      <c r="I563" s="9" t="inlineStr">
        <is>
          <t>contact@chattbuild.com</t>
        </is>
      </c>
      <c r="J563" s="9" t="inlineStr">
        <is>
          <t>chattbuild.com</t>
        </is>
      </c>
      <c r="K563" s="10" t="n"/>
      <c r="L563" s="10" t="n"/>
      <c r="M563" s="10" t="n"/>
      <c r="N563" s="10" t="n"/>
      <c r="O563" s="9" t="inlineStr">
        <is>
          <t>Gap-filled 2026-09-04: phone and address added - the row previously had only the website and email. Note the address differs from the 1612 East 14th Street on the original Vibe record, which was never confirmed; Ringgold Road is what current listings give.</t>
        </is>
      </c>
    </row>
    <row r="564">
      <c r="A564" s="13" t="inlineStr">
        <is>
          <t>B</t>
        </is>
      </c>
      <c r="B564" s="9" t="inlineStr">
        <is>
          <t>Not phone re-checked</t>
        </is>
      </c>
      <c r="C564" s="9" t="inlineStr">
        <is>
          <t>The RLS Group</t>
        </is>
      </c>
      <c r="D564" s="9" t="inlineStr">
        <is>
          <t>Land Surveying</t>
        </is>
      </c>
      <c r="E564" s="9" t="inlineStr">
        <is>
          <t>(423) 847-0155</t>
        </is>
      </c>
      <c r="F564" s="9" t="inlineStr">
        <is>
          <t>Hixson</t>
        </is>
      </c>
      <c r="G564" s="9" t="inlineStr">
        <is>
          <t>4728 Adams Road, Suite 101</t>
        </is>
      </c>
      <c r="H564" s="9" t="inlineStr">
        <is>
          <t>37343</t>
        </is>
      </c>
      <c r="I564" s="9" t="n"/>
      <c r="J564" s="9" t="inlineStr">
        <is>
          <t>rlshds.com</t>
        </is>
      </c>
      <c r="K564" s="10" t="n"/>
      <c r="L564" s="10" t="n"/>
      <c r="M564" s="10" t="n"/>
      <c r="N564" s="10" t="n"/>
      <c r="O564" s="9" t="inlineStr">
        <is>
          <t>Gap-filled 2026-09-04: phone added, address confirmed unchanged. Survey crews drive to sites daily, often onto raw ground - more windscreen wear than an office headcount suggests.</t>
        </is>
      </c>
    </row>
    <row r="565">
      <c r="A565" s="13" t="inlineStr">
        <is>
          <t>B</t>
        </is>
      </c>
      <c r="B565" s="9" t="inlineStr">
        <is>
          <t>Not phone re-checked</t>
        </is>
      </c>
      <c r="C565" s="9" t="inlineStr">
        <is>
          <t>Tire Discounters (Hixson)</t>
        </is>
      </c>
      <c r="D565" s="9" t="inlineStr">
        <is>
          <t>Tire &amp; Auto Service</t>
        </is>
      </c>
      <c r="E565" s="9" t="inlineStr">
        <is>
          <t>(423) 425-9814</t>
        </is>
      </c>
      <c r="F565" s="9" t="inlineStr">
        <is>
          <t>Hixson</t>
        </is>
      </c>
      <c r="G565" s="9" t="inlineStr">
        <is>
          <t>5681 Highway 153</t>
        </is>
      </c>
      <c r="H565" s="9" t="inlineStr">
        <is>
          <t>37343</t>
        </is>
      </c>
      <c r="I565" s="9" t="n"/>
      <c r="J565" s="9" t="inlineStr">
        <is>
          <t>tirediscounters.com</t>
        </is>
      </c>
      <c r="K565" s="10" t="n"/>
      <c r="L565" s="10" t="n"/>
      <c r="M565" s="10" t="n"/>
      <c r="N565" s="10" t="n"/>
      <c r="O565" s="9" t="inlineStr">
        <is>
          <t>NEW LEAD. Store page: address, phone and website confirmed. Tires, alignments, brakes and wheels - a natural referral partner as well as a fleet-service account.</t>
        </is>
      </c>
    </row>
    <row r="566">
      <c r="A566" s="13" t="inlineStr">
        <is>
          <t>B</t>
        </is>
      </c>
      <c r="B566" s="9" t="inlineStr">
        <is>
          <t>Not phone re-checked</t>
        </is>
      </c>
      <c r="C566" s="9" t="inlineStr">
        <is>
          <t>Transcomp Compliance Services - Join the Network</t>
        </is>
      </c>
      <c r="D566" s="9" t="inlineStr">
        <is>
          <t>DOT Compliance &amp; Fleet Services</t>
        </is>
      </c>
      <c r="E566" s="9" t="inlineStr">
        <is>
          <t>(423) 602-8722</t>
        </is>
      </c>
      <c r="F566" s="9" t="inlineStr">
        <is>
          <t>Chattanooga</t>
        </is>
      </c>
      <c r="G566" s="9" t="inlineStr">
        <is>
          <t>5901 Shallowford Road</t>
        </is>
      </c>
      <c r="H566" s="9" t="inlineStr">
        <is>
          <t>37421</t>
        </is>
      </c>
      <c r="I566" s="9" t="n"/>
      <c r="J566" s="9" t="inlineStr">
        <is>
          <t>transcompnetwork.com</t>
        </is>
      </c>
      <c r="K566" s="10" t="n"/>
      <c r="L566" s="10" t="n"/>
      <c r="M566" s="10" t="n"/>
      <c r="N566" s="10" t="n"/>
      <c r="O566" s="9" t="inlineStr">
        <is>
          <t>The value here is not their own vehicles - it is who they talk to. Transcomp does DOT compliance for local fleet operators, so their client list is the target market, and their partner-affiliate programme is an open invitation to that kind of relationship. Worth a conversation about referrals as much as a sales call. Their own site confirms the record's Shallowford Road address.</t>
        </is>
      </c>
    </row>
    <row r="567">
      <c r="A567" s="13" t="inlineStr">
        <is>
          <t>B</t>
        </is>
      </c>
      <c r="B567" s="9" t="inlineStr">
        <is>
          <t>Not phone re-checked</t>
        </is>
      </c>
      <c r="C567" s="9" t="inlineStr">
        <is>
          <t>Trantham's Service Center &amp; Wrecker Service</t>
        </is>
      </c>
      <c r="D567" s="9" t="inlineStr">
        <is>
          <t>Towing</t>
        </is>
      </c>
      <c r="E567" s="9" t="inlineStr">
        <is>
          <t>(423) 899-4292</t>
        </is>
      </c>
      <c r="F567" s="9" t="inlineStr">
        <is>
          <t>Chattanooga</t>
        </is>
      </c>
      <c r="G567" s="9" t="inlineStr">
        <is>
          <t>6733A Ringgold Rd</t>
        </is>
      </c>
      <c r="H567" s="9" t="inlineStr">
        <is>
          <t>37412</t>
        </is>
      </c>
      <c r="I567" s="9" t="n"/>
      <c r="J567" s="9" t="inlineStr">
        <is>
          <t>tranthams.com</t>
        </is>
      </c>
      <c r="K567" s="10" t="n"/>
      <c r="L567" s="10" t="n"/>
      <c r="M567" s="10" t="n"/>
      <c r="N567" s="10" t="n"/>
      <c r="O567" s="9" t="inlineStr">
        <is>
          <t>verified tranthams.com live</t>
        </is>
      </c>
    </row>
    <row r="568">
      <c r="A568" s="13" t="inlineStr">
        <is>
          <t>B</t>
        </is>
      </c>
      <c r="B568" s="9" t="inlineStr">
        <is>
          <t>Not phone re-checked</t>
        </is>
      </c>
      <c r="C568" s="9" t="inlineStr">
        <is>
          <t>Tri-Star Seamless Gutters</t>
        </is>
      </c>
      <c r="D568" s="9" t="inlineStr">
        <is>
          <t>Gutter Contractor</t>
        </is>
      </c>
      <c r="E568" s="9" t="inlineStr">
        <is>
          <t>(423) 762-5904</t>
        </is>
      </c>
      <c r="F568" s="9" t="inlineStr">
        <is>
          <t>Hixson</t>
        </is>
      </c>
      <c r="G568" s="9" t="n"/>
      <c r="H568" s="9" t="inlineStr">
        <is>
          <t>37343</t>
        </is>
      </c>
      <c r="I568" s="9" t="n"/>
      <c r="J568" s="9" t="inlineStr">
        <is>
          <t>tri-starseamlessgutters.com</t>
        </is>
      </c>
      <c r="K568" s="10" t="n"/>
      <c r="L568" s="10" t="n"/>
      <c r="M568" s="10" t="n"/>
      <c r="N568" s="10" t="n"/>
      <c r="O568" s="9" t="inlineStr">
        <is>
          <t>New lead. Gutter crews run trucks with roof-rack brake presses. No street address or email published.</t>
        </is>
      </c>
    </row>
    <row r="569">
      <c r="A569" s="13" t="inlineStr">
        <is>
          <t>B</t>
        </is>
      </c>
      <c r="B569" s="9" t="inlineStr">
        <is>
          <t>Not phone re-checked</t>
        </is>
      </c>
      <c r="C569" s="9" t="inlineStr">
        <is>
          <t>Tri-State Electrical Contractors</t>
        </is>
      </c>
      <c r="D569" s="9" t="inlineStr">
        <is>
          <t>Telecom / Low-Voltage Installation Contractor</t>
        </is>
      </c>
      <c r="E569" s="9" t="inlineStr">
        <is>
          <t>(423) 800-2134</t>
        </is>
      </c>
      <c r="F569" s="9" t="inlineStr">
        <is>
          <t>Chattanooga</t>
        </is>
      </c>
      <c r="G569" s="9" t="inlineStr">
        <is>
          <t>2101 Fort St</t>
        </is>
      </c>
      <c r="H569" s="9" t="inlineStr">
        <is>
          <t>37408</t>
        </is>
      </c>
      <c r="I569" s="9" t="inlineStr">
        <is>
          <t>info@tristateec.com</t>
        </is>
      </c>
      <c r="J569" s="9" t="inlineStr">
        <is>
          <t>tristateec.com</t>
        </is>
      </c>
      <c r="K569" s="10" t="n"/>
      <c r="L569" s="10" t="n"/>
      <c r="M569" s="10" t="n"/>
      <c r="N569" s="10" t="n"/>
      <c r="O569" s="9" t="inlineStr">
        <is>
          <t>verified tristateec.com live; 50 yrs</t>
        </is>
      </c>
    </row>
    <row r="570">
      <c r="A570" s="13" t="inlineStr">
        <is>
          <t>B</t>
        </is>
      </c>
      <c r="B570" s="9" t="inlineStr">
        <is>
          <t>Not phone re-checked</t>
        </is>
      </c>
      <c r="C570" s="9" t="inlineStr">
        <is>
          <t>Tritex Services</t>
        </is>
      </c>
      <c r="D570" s="9" t="inlineStr">
        <is>
          <t>Linen / Uniform / Floor Mat Service</t>
        </is>
      </c>
      <c r="E570" s="9" t="inlineStr">
        <is>
          <t>(888) 761-3238</t>
        </is>
      </c>
      <c r="F570" s="9" t="inlineStr">
        <is>
          <t>Chattanooga</t>
        </is>
      </c>
      <c r="G570" s="9" t="n"/>
      <c r="H570" s="9" t="n"/>
      <c r="I570" s="9" t="n"/>
      <c r="J570" s="9" t="inlineStr">
        <is>
          <t>tritexservices.com</t>
        </is>
      </c>
      <c r="K570" s="10" t="n"/>
      <c r="L570" s="10" t="n"/>
      <c r="M570" s="10" t="n"/>
      <c r="N570" s="10" t="n"/>
      <c r="O570" s="9" t="inlineStr">
        <is>
          <t>New lead. Route trucks make weekly stops all over Hamilton County. Only a toll-free number is published - ask for the Chattanooga branch.</t>
        </is>
      </c>
    </row>
    <row r="571">
      <c r="A571" s="13" t="inlineStr">
        <is>
          <t>B</t>
        </is>
      </c>
      <c r="B571" s="9" t="inlineStr">
        <is>
          <t>Not phone re-checked</t>
        </is>
      </c>
      <c r="C571" s="9" t="inlineStr">
        <is>
          <t>Truck N Trailer USA Inc</t>
        </is>
      </c>
      <c r="D571" s="9" t="inlineStr">
        <is>
          <t>Trailer Repair &amp; Truck Accessories</t>
        </is>
      </c>
      <c r="E571" s="9" t="inlineStr">
        <is>
          <t>(423) 876-1990</t>
        </is>
      </c>
      <c r="F571" s="9" t="inlineStr">
        <is>
          <t>Chattanooga</t>
        </is>
      </c>
      <c r="G571" s="9" t="inlineStr">
        <is>
          <t>4591 North Access Road</t>
        </is>
      </c>
      <c r="H571" s="9" t="inlineStr">
        <is>
          <t>37415</t>
        </is>
      </c>
      <c r="I571" s="9" t="inlineStr">
        <is>
          <t>sales@4tntusa.com</t>
        </is>
      </c>
      <c r="J571" s="9" t="inlineStr">
        <is>
          <t>4tntusa.com</t>
        </is>
      </c>
      <c r="K571" s="10" t="n"/>
      <c r="L571" s="10" t="n"/>
      <c r="M571" s="10" t="n"/>
      <c r="N571" s="10" t="n"/>
      <c r="O571" s="9" t="inlineStr">
        <is>
          <t>Worth more as a trade contact than as a customer. They fit accessories and repair trailers for exactly the truck owners you want, so the referral runs both ways: they see damaged glass, you see people needing hitches and tops. Their own site confirms the record's North Access Road address and gives named people to ask for.</t>
        </is>
      </c>
    </row>
    <row r="572">
      <c r="A572" s="13" t="inlineStr">
        <is>
          <t>B</t>
        </is>
      </c>
      <c r="B572" s="9" t="inlineStr">
        <is>
          <t>Not phone re-checked</t>
        </is>
      </c>
      <c r="C572" s="9" t="inlineStr">
        <is>
          <t>Ultimate Service Appliance &amp; Electric</t>
        </is>
      </c>
      <c r="D572" s="9" t="inlineStr">
        <is>
          <t>Appliance / HVAC / Electrical Repair</t>
        </is>
      </c>
      <c r="E572" s="9" t="inlineStr">
        <is>
          <t>(423) 595-5131</t>
        </is>
      </c>
      <c r="F572" s="9" t="inlineStr">
        <is>
          <t>Hixson</t>
        </is>
      </c>
      <c r="G572" s="9" t="n"/>
      <c r="H572" s="9" t="inlineStr">
        <is>
          <t>37343</t>
        </is>
      </c>
      <c r="I572" s="9" t="inlineStr">
        <is>
          <t>ultimateservice.ae@gmail.com</t>
        </is>
      </c>
      <c r="J572" s="9" t="inlineStr">
        <is>
          <t>ultimateserviceappliance.com</t>
        </is>
      </c>
      <c r="K572" s="10" t="n"/>
      <c r="L572" s="10" t="n"/>
      <c r="M572" s="10" t="n"/>
      <c r="N572" s="10" t="n"/>
      <c r="O572" s="9" t="inlineStr">
        <is>
          <t>New lead. Service-van fleet covering Hamilton County and into GA. No street address published.</t>
        </is>
      </c>
    </row>
    <row r="573">
      <c r="A573" s="13" t="inlineStr">
        <is>
          <t>B</t>
        </is>
      </c>
      <c r="B573" s="9" t="inlineStr">
        <is>
          <t>Not phone re-checked</t>
        </is>
      </c>
      <c r="C573" s="9" t="inlineStr">
        <is>
          <t>Vanguard Cleaning Systems of Southeast Tennessee</t>
        </is>
      </c>
      <c r="D573" s="9" t="inlineStr">
        <is>
          <t>Commercial Cleaning Franchisor</t>
        </is>
      </c>
      <c r="E573" s="9" t="inlineStr">
        <is>
          <t>(423) 321-0000</t>
        </is>
      </c>
      <c r="F573" s="9" t="inlineStr">
        <is>
          <t>Chattanooga</t>
        </is>
      </c>
      <c r="G573" s="9" t="inlineStr">
        <is>
          <t>200 West ML King Boulevard Suite 1000</t>
        </is>
      </c>
      <c r="H573" s="9" t="inlineStr">
        <is>
          <t>37402</t>
        </is>
      </c>
      <c r="I573" s="9" t="n"/>
      <c r="J573" s="9" t="inlineStr">
        <is>
          <t>vanguardcleaning.com/cleaning/tennessee-chattanooga</t>
        </is>
      </c>
      <c r="K573" s="10" t="n"/>
      <c r="L573" s="10" t="n"/>
      <c r="M573" s="10" t="n"/>
      <c r="N573" s="10" t="n"/>
      <c r="O573" s="9" t="inlineStr">
        <is>
          <t>Held at B because this office is the area franchisor rather than the people holding the mops - only 1-10 staff of its own. The interesting angle is the other side of that: it places and supports dozens of independent janitorial franchisees across the region, every one of them driving to accounts, so one conversation here could open a lot of small fleets. Their own site confirms the record's MLK Boulevard address.</t>
        </is>
      </c>
    </row>
    <row r="574">
      <c r="A574" s="13" t="inlineStr">
        <is>
          <t>B</t>
        </is>
      </c>
      <c r="B574" s="9" t="inlineStr">
        <is>
          <t>Not phone re-checked</t>
        </is>
      </c>
      <c r="C574" s="9" t="inlineStr">
        <is>
          <t>Vega corporation of Tennessee</t>
        </is>
      </c>
      <c r="D574" s="9" t="inlineStr">
        <is>
          <t>General Contractor &amp; Construction Manager</t>
        </is>
      </c>
      <c r="E574" s="9" t="inlineStr">
        <is>
          <t>(423) 266-8876</t>
        </is>
      </c>
      <c r="F574" s="9" t="inlineStr">
        <is>
          <t>Chattanooga</t>
        </is>
      </c>
      <c r="G574" s="9" t="inlineStr">
        <is>
          <t>P.O. Box 22937</t>
        </is>
      </c>
      <c r="H574" s="9" t="inlineStr">
        <is>
          <t>37422</t>
        </is>
      </c>
      <c r="I574" s="9" t="inlineStr">
        <is>
          <t>corey@vega-corp.com</t>
        </is>
      </c>
      <c r="J574" s="9" t="inlineStr">
        <is>
          <t>vega-corp.com</t>
        </is>
      </c>
      <c r="K574" s="10" t="n"/>
      <c r="L574" s="10" t="n"/>
      <c r="M574" s="10" t="n"/>
      <c r="N574" s="10" t="n"/>
      <c r="O574" s="9" t="inlineStr">
        <is>
          <t>Industrial, telecom and power generation work means field staff travelling to plants and tower sites, but only 1-10 staff of their own, so held at B. Two named people publish direct emails, which is the way in. Their own site gives only a PO Box - the record carried no address at all - so ask where the office is.</t>
        </is>
      </c>
    </row>
    <row r="575">
      <c r="A575" s="13" t="inlineStr">
        <is>
          <t>B</t>
        </is>
      </c>
      <c r="B575" s="9" t="inlineStr">
        <is>
          <t>Not phone re-checked</t>
        </is>
      </c>
      <c r="C575" s="9" t="inlineStr">
        <is>
          <t>Volunteer Appliance Service Co.</t>
        </is>
      </c>
      <c r="D575" s="9" t="inlineStr">
        <is>
          <t>Appliance Repair (Mobile Service)</t>
        </is>
      </c>
      <c r="E575" s="9" t="inlineStr">
        <is>
          <t>(423) 867-4000</t>
        </is>
      </c>
      <c r="F575" s="9" t="inlineStr">
        <is>
          <t>Chattanooga</t>
        </is>
      </c>
      <c r="G575" s="9" t="inlineStr">
        <is>
          <t>2108 McBrien Rd</t>
        </is>
      </c>
      <c r="H575" s="9" t="inlineStr">
        <is>
          <t>37412</t>
        </is>
      </c>
      <c r="I575" s="9" t="n"/>
      <c r="J575" s="9" t="n"/>
      <c r="K575" s="10" t="n"/>
      <c r="L575" s="10" t="n"/>
      <c r="M575" s="10" t="n"/>
      <c r="N575" s="10" t="n"/>
      <c r="O575" s="9" t="inlineStr">
        <is>
          <t>Gap-filled 2026-09-04: no real website - only a dormant blogspot page, which is not recorded. The phone already in the row was confirmed unchanged. Family owned for 75+ years; mobile appliance service means vans out daily.</t>
        </is>
      </c>
    </row>
    <row r="576">
      <c r="A576" s="13" t="inlineStr">
        <is>
          <t>B</t>
        </is>
      </c>
      <c r="B576" s="9" t="inlineStr">
        <is>
          <t>Not phone re-checked</t>
        </is>
      </c>
      <c r="C576" s="9" t="inlineStr">
        <is>
          <t>We Talk Trash Dumpsters</t>
        </is>
      </c>
      <c r="D576" s="9" t="inlineStr">
        <is>
          <t>Waste Management / Dumpster Rental</t>
        </is>
      </c>
      <c r="E576" s="9" t="inlineStr">
        <is>
          <t>(423) 708-4788</t>
        </is>
      </c>
      <c r="F576" s="9" t="inlineStr">
        <is>
          <t>Chattanooga</t>
        </is>
      </c>
      <c r="G576" s="9" t="inlineStr">
        <is>
          <t>1106 McCallie Ave Ste 104</t>
        </is>
      </c>
      <c r="H576" s="9" t="inlineStr">
        <is>
          <t>37404</t>
        </is>
      </c>
      <c r="I576" s="9" t="inlineStr">
        <is>
          <t>office@wetalktrashdumpsters.com</t>
        </is>
      </c>
      <c r="J576" s="9" t="inlineStr">
        <is>
          <t>wetalktrashdumpsters.com</t>
        </is>
      </c>
      <c r="K576" s="10" t="n"/>
      <c r="L576" s="10" t="n"/>
      <c r="M576" s="10" t="n"/>
      <c r="N576" s="10" t="n"/>
      <c r="O576" s="9" t="inlineStr">
        <is>
          <t>verified wetalktrashdumpsters.com live</t>
        </is>
      </c>
    </row>
    <row r="577">
      <c r="A577" s="13" t="inlineStr">
        <is>
          <t>B</t>
        </is>
      </c>
      <c r="B577" s="9" t="inlineStr">
        <is>
          <t>Not phone re-checked</t>
        </is>
      </c>
      <c r="C577" s="9" t="inlineStr">
        <is>
          <t>WesHauls</t>
        </is>
      </c>
      <c r="D577" s="9" t="inlineStr">
        <is>
          <t>Moving / Delivery</t>
        </is>
      </c>
      <c r="E577" s="9" t="inlineStr">
        <is>
          <t>(423) 596-8237</t>
        </is>
      </c>
      <c r="F577" s="9" t="inlineStr">
        <is>
          <t>Hixson</t>
        </is>
      </c>
      <c r="G577" s="9" t="inlineStr">
        <is>
          <t>5450 Hwy 153, Ste 126, Unit 1150</t>
        </is>
      </c>
      <c r="H577" s="9" t="inlineStr">
        <is>
          <t>37343</t>
        </is>
      </c>
      <c r="I577" s="9" t="n"/>
      <c r="J577" s="9" t="n"/>
      <c r="K577" s="10" t="n"/>
      <c r="L577" s="10" t="n"/>
      <c r="M577" s="10" t="n"/>
      <c r="N577" s="10" t="n"/>
      <c r="O577" s="9" t="inlineStr">
        <is>
          <t>Gap-filled 2026-09-04: no official website - they trade through social media. Phone and address already in the row confirmed unchanged. Worth noting the tagline is identical to Papa Services, already on the list, so check you are not calling the same outfit twice.</t>
        </is>
      </c>
    </row>
    <row r="578">
      <c r="A578" s="13" t="inlineStr">
        <is>
          <t>B</t>
        </is>
      </c>
      <c r="B578" s="9" t="inlineStr">
        <is>
          <t>Not phone re-checked</t>
        </is>
      </c>
      <c r="C578" s="9" t="inlineStr">
        <is>
          <t>Wholesale Auto Brokers</t>
        </is>
      </c>
      <c r="D578" s="9" t="inlineStr">
        <is>
          <t>Automotive Wholesaler</t>
        </is>
      </c>
      <c r="E578" s="9" t="inlineStr">
        <is>
          <t>(423) 855-4133</t>
        </is>
      </c>
      <c r="F578" s="9" t="inlineStr">
        <is>
          <t>Chattanooga</t>
        </is>
      </c>
      <c r="G578" s="9" t="inlineStr">
        <is>
          <t>9105 E Brainerd Rd</t>
        </is>
      </c>
      <c r="H578" s="9" t="inlineStr">
        <is>
          <t>37421</t>
        </is>
      </c>
      <c r="I578" s="9" t="n"/>
      <c r="J578" s="9" t="inlineStr">
        <is>
          <t>myautobrokers.com</t>
        </is>
      </c>
      <c r="K578" s="10" t="n"/>
      <c r="L578" s="10" t="n"/>
      <c r="M578" s="10" t="n"/>
      <c r="N578" s="10" t="n"/>
      <c r="O578" s="9" t="inlineStr">
        <is>
          <t>verified myautobrokers.com live, phone confirmed</t>
        </is>
      </c>
    </row>
    <row r="579">
      <c r="A579" s="13" t="inlineStr">
        <is>
          <t>B</t>
        </is>
      </c>
      <c r="B579" s="9" t="inlineStr">
        <is>
          <t>Not phone re-checked</t>
        </is>
      </c>
      <c r="C579" s="9" t="inlineStr">
        <is>
          <t>Window Works &amp; Exteriors of Chattanooga Window Works of Chattanooga</t>
        </is>
      </c>
      <c r="D579" s="9" t="inlineStr">
        <is>
          <t>Replacement Windows, Doors &amp; Siding</t>
        </is>
      </c>
      <c r="E579" s="9" t="inlineStr">
        <is>
          <t>(423) 296-6793</t>
        </is>
      </c>
      <c r="F579" s="9" t="inlineStr">
        <is>
          <t>Chattanooga</t>
        </is>
      </c>
      <c r="G579" s="9" t="inlineStr">
        <is>
          <t>9002 East Brainerd Road</t>
        </is>
      </c>
      <c r="H579" s="9" t="inlineStr">
        <is>
          <t>37421</t>
        </is>
      </c>
      <c r="I579" s="9" t="inlineStr">
        <is>
          <t>office@windowworksofchattanooga.com</t>
        </is>
      </c>
      <c r="J579" s="9" t="inlineStr">
        <is>
          <t>windowworksofchattanooga.com</t>
        </is>
      </c>
      <c r="K579" s="10" t="n"/>
      <c r="L579" s="10" t="n"/>
      <c r="M579" s="10" t="n"/>
      <c r="N579" s="10" t="n"/>
      <c r="O579" s="9" t="inlineStr">
        <is>
          <t>Another glass-trade neighbour rather than a competitor - they do residential replacement windows, not vehicles. Install crews run box trucks with glass racks, so they are a customer too, and the people who know what a broken pane costs. Their own site confirms the record's East Brainerd address and publishes a real office email.</t>
        </is>
      </c>
    </row>
    <row r="580">
      <c r="A580" s="13" t="inlineStr">
        <is>
          <t>B</t>
        </is>
      </c>
      <c r="B580" s="9" t="inlineStr">
        <is>
          <t>Not phone re-checked</t>
        </is>
      </c>
      <c r="C580" s="9" t="inlineStr">
        <is>
          <t>Window World Of Chattanooga</t>
        </is>
      </c>
      <c r="D580" s="9" t="inlineStr">
        <is>
          <t>Replacement Windows, Doors &amp; Siding</t>
        </is>
      </c>
      <c r="E580" s="9" t="inlineStr">
        <is>
          <t>(423) 296-0866</t>
        </is>
      </c>
      <c r="F580" s="9" t="inlineStr">
        <is>
          <t>Chattanooga</t>
        </is>
      </c>
      <c r="G580" s="9" t="inlineStr">
        <is>
          <t>3769 Powers Court</t>
        </is>
      </c>
      <c r="H580" s="9" t="inlineStr">
        <is>
          <t>37416</t>
        </is>
      </c>
      <c r="I580" s="9" t="n"/>
      <c r="J580" s="9" t="inlineStr">
        <is>
          <t>windowworldchattanooga.com</t>
        </is>
      </c>
      <c r="K580" s="10" t="n"/>
      <c r="L580" s="10" t="n"/>
      <c r="M580" s="10" t="n"/>
      <c r="N580" s="10" t="n"/>
      <c r="O580" s="9" t="inlineStr">
        <is>
          <t>Same picture as Window Works - residential glass, install trucks with racks, and a trade neighbour worth knowing. Their own site says 3769 Powers Court; the record's 3740 Powers Court 300 is wrong. No email published, only a form.</t>
        </is>
      </c>
    </row>
    <row r="581">
      <c r="A581" s="13" t="inlineStr">
        <is>
          <t>B</t>
        </is>
      </c>
      <c r="B581" s="9" t="inlineStr">
        <is>
          <t>Not phone re-checked</t>
        </is>
      </c>
      <c r="C581" s="9" t="inlineStr">
        <is>
          <t>Winters Roofing</t>
        </is>
      </c>
      <c r="D581" s="9" t="inlineStr">
        <is>
          <t>Roofing</t>
        </is>
      </c>
      <c r="E581" s="9" t="inlineStr">
        <is>
          <t>(423) 225-1819</t>
        </is>
      </c>
      <c r="F581" s="9" t="inlineStr">
        <is>
          <t>Hixson</t>
        </is>
      </c>
      <c r="G581" s="9" t="inlineStr">
        <is>
          <t>3811 Hixson Pike</t>
        </is>
      </c>
      <c r="H581" s="9" t="inlineStr">
        <is>
          <t>37343</t>
        </is>
      </c>
      <c r="I581" s="9" t="n"/>
      <c r="J581" s="9" t="inlineStr">
        <is>
          <t>wintersroofinginc.com</t>
        </is>
      </c>
      <c r="K581" s="10" t="n"/>
      <c r="L581" s="10" t="n"/>
      <c r="M581" s="10" t="n"/>
      <c r="N581" s="10" t="n"/>
      <c r="O581" s="9" t="inlineStr">
        <is>
          <t>NEW LEAD. Business-run page: address, phone and website confirmed. 25+ years in roofing, so an established crew-truck fleet.</t>
        </is>
      </c>
    </row>
    <row r="582">
      <c r="A582" s="13" t="inlineStr">
        <is>
          <t>B</t>
        </is>
      </c>
      <c r="B582" s="9" t="inlineStr">
        <is>
          <t>Not phone re-checked</t>
        </is>
      </c>
      <c r="C582" s="9" t="inlineStr">
        <is>
          <t>WOLFTEVER DEVELOPMENT, LLC</t>
        </is>
      </c>
      <c r="D582" s="9" t="inlineStr">
        <is>
          <t>Commercial Real Estate Development</t>
        </is>
      </c>
      <c r="E582" s="9" t="inlineStr">
        <is>
          <t>(423) 266-5588</t>
        </is>
      </c>
      <c r="F582" s="9" t="inlineStr">
        <is>
          <t>Chattanooga</t>
        </is>
      </c>
      <c r="G582" s="9" t="inlineStr">
        <is>
          <t>800 Broad Street Suite 200</t>
        </is>
      </c>
      <c r="H582" s="9" t="inlineStr">
        <is>
          <t>37402</t>
        </is>
      </c>
      <c r="I582" s="9" t="n"/>
      <c r="J582" s="9" t="inlineStr">
        <is>
          <t>wolftever.net</t>
        </is>
      </c>
      <c r="K582" s="10" t="n"/>
      <c r="L582" s="10" t="n"/>
      <c r="M582" s="10" t="n"/>
      <c r="N582" s="10" t="n"/>
      <c r="O582" s="9" t="inlineStr">
        <is>
          <t>A developer rather than a builder, so the vehicles are staff cars visiting sites - held at B. Their second address, 115 Cedar Lane, is MPL Construction's office, already on the list, which suggests the two work together closely; that is a useful thing to know when calling either.</t>
        </is>
      </c>
    </row>
    <row r="583">
      <c r="A583" s="13" t="inlineStr">
        <is>
          <t>B</t>
        </is>
      </c>
      <c r="B583" s="9" t="inlineStr">
        <is>
          <t>Not phone re-checked</t>
        </is>
      </c>
      <c r="C583" s="9" t="inlineStr">
        <is>
          <t>YOUNG ELECTRIC COMPANY</t>
        </is>
      </c>
      <c r="D583" s="9" t="inlineStr">
        <is>
          <t>Electrical Contractor</t>
        </is>
      </c>
      <c r="E583" s="9" t="inlineStr">
        <is>
          <t>(423) 867-9324</t>
        </is>
      </c>
      <c r="F583" s="9" t="inlineStr">
        <is>
          <t>Chattanooga</t>
        </is>
      </c>
      <c r="G583" s="9" t="inlineStr">
        <is>
          <t>3907 Dodds Avenue</t>
        </is>
      </c>
      <c r="H583" s="9" t="inlineStr">
        <is>
          <t>37407</t>
        </is>
      </c>
      <c r="I583" s="9" t="n"/>
      <c r="J583" s="9" t="inlineStr">
        <is>
          <t>youngelectric.net</t>
        </is>
      </c>
      <c r="K583" s="10" t="n"/>
      <c r="L583" s="10" t="n"/>
      <c r="M583" s="10" t="n"/>
      <c r="N583" s="10" t="n"/>
      <c r="O583" s="9" t="inlineStr">
        <is>
          <t>Electricians run service vans, and this one also does energy management, communications cabling and solar, so techs are out constantly - but only 1-10 staff, so held at B. Their own site confirms the record's Dodds Avenue address. No email published.</t>
        </is>
      </c>
    </row>
    <row r="584">
      <c r="A584" s="13" t="inlineStr">
        <is>
          <t>B</t>
        </is>
      </c>
      <c r="B584" s="11" t="inlineStr">
        <is>
          <t>Unconfirmed - verify before calling</t>
        </is>
      </c>
      <c r="C584" s="9" t="inlineStr">
        <is>
          <t>American Foundation Repair &amp; Basement Waterproofing</t>
        </is>
      </c>
      <c r="D584" s="9" t="inlineStr">
        <is>
          <t>Foundation Repair / Waterproofing</t>
        </is>
      </c>
      <c r="E584" s="9" t="inlineStr">
        <is>
          <t>(423) 424-0825</t>
        </is>
      </c>
      <c r="F584" s="9" t="inlineStr">
        <is>
          <t>Chattanooga</t>
        </is>
      </c>
      <c r="G584" s="9" t="inlineStr">
        <is>
          <t>200 W Martin Luther King Blvd, Ste 1000</t>
        </is>
      </c>
      <c r="H584" s="9" t="inlineStr">
        <is>
          <t>37402</t>
        </is>
      </c>
      <c r="I584" s="9" t="n"/>
      <c r="J584" s="9" t="inlineStr">
        <is>
          <t>americanfw.com</t>
        </is>
      </c>
      <c r="K584" s="10" t="n"/>
      <c r="L584" s="10" t="n"/>
      <c r="M584" s="10" t="n"/>
      <c r="N584" s="10" t="n"/>
      <c r="O584" s="9" t="inlineStr">
        <is>
          <t>OFFICIAL SITE: resolves the earlier flag. americanfw.com carries a Chattanooga location page and says they have served Chattanooga since 2007, including commercial waterproofing. They publish only the Knoxville HQ number, so the sheet's 423-424-0825 is still unconfirmed - ask for the Chattanooga crew.</t>
        </is>
      </c>
    </row>
    <row r="585">
      <c r="A585" s="13" t="inlineStr">
        <is>
          <t>B</t>
        </is>
      </c>
      <c r="B585" s="11" t="inlineStr">
        <is>
          <t>Unconfirmed - verify before calling</t>
        </is>
      </c>
      <c r="C585" s="9" t="inlineStr">
        <is>
          <t>Daisy Church of God</t>
        </is>
      </c>
      <c r="D585" s="9" t="inlineStr">
        <is>
          <t>Church</t>
        </is>
      </c>
      <c r="E585" s="9" t="inlineStr">
        <is>
          <t>(423) 332-2558</t>
        </is>
      </c>
      <c r="F585" s="9" t="inlineStr">
        <is>
          <t>Soddy-Daisy</t>
        </is>
      </c>
      <c r="G585" s="9" t="inlineStr">
        <is>
          <t>9555 Dayton Pike</t>
        </is>
      </c>
      <c r="H585" s="9" t="inlineStr">
        <is>
          <t>37379</t>
        </is>
      </c>
      <c r="I585" s="9" t="n"/>
      <c r="J585" s="9" t="inlineStr">
        <is>
          <t>daisychurchofgod.net</t>
        </is>
      </c>
      <c r="K585" s="10" t="n"/>
      <c r="L585" s="10" t="n"/>
      <c r="M585" s="10" t="n"/>
      <c r="N585" s="10" t="n"/>
      <c r="O585" s="9" t="inlineStr">
        <is>
          <t>OFFICIAL SITE: live, affiliated with Church of God (Cleveland TN). No address, phone or email published - sheet details unconfirmed.</t>
        </is>
      </c>
    </row>
    <row r="586">
      <c r="A586" s="13" t="inlineStr">
        <is>
          <t>B</t>
        </is>
      </c>
      <c r="B586" s="11" t="inlineStr">
        <is>
          <t>Unconfirmed - verify before calling</t>
        </is>
      </c>
      <c r="C586" s="9" t="inlineStr">
        <is>
          <t>Romero Roofing and Services</t>
        </is>
      </c>
      <c r="D586" s="9" t="inlineStr">
        <is>
          <t>Roofing</t>
        </is>
      </c>
      <c r="E586" s="9" t="inlineStr">
        <is>
          <t>(423) 424-6817</t>
        </is>
      </c>
      <c r="F586" s="9" t="inlineStr">
        <is>
          <t>Soddy-Daisy</t>
        </is>
      </c>
      <c r="G586" s="9" t="inlineStr">
        <is>
          <t>10406 Dayton Pike</t>
        </is>
      </c>
      <c r="H586" s="9" t="inlineStr">
        <is>
          <t>37379</t>
        </is>
      </c>
      <c r="I586" s="9" t="n"/>
      <c r="J586" s="9" t="inlineStr">
        <is>
          <t>romero-roofing.com</t>
        </is>
      </c>
      <c r="K586" s="10" t="n"/>
      <c r="L586" s="10" t="n"/>
      <c r="M586" s="10" t="n"/>
      <c r="N586" s="10" t="n"/>
      <c r="O586" s="9" t="inlineStr">
        <is>
          <t>OFFICIAL SITE: address confirmed; trades as Romero Roofing and Exteriors, Inc. Phone not published on site, sheet number unconfirmed.</t>
        </is>
      </c>
    </row>
    <row r="587">
      <c r="A587" s="13" t="inlineStr">
        <is>
          <t>B</t>
        </is>
      </c>
      <c r="B587" s="11" t="inlineStr">
        <is>
          <t>Unconfirmed - verify before calling</t>
        </is>
      </c>
      <c r="C587" s="9" t="inlineStr">
        <is>
          <t>Shuford's Smokehouse</t>
        </is>
      </c>
      <c r="D587" s="9" t="inlineStr">
        <is>
          <t>Restaurant / BBQ with Catering</t>
        </is>
      </c>
      <c r="E587" s="9" t="inlineStr">
        <is>
          <t>(423) 451-7102</t>
        </is>
      </c>
      <c r="F587" s="9" t="inlineStr">
        <is>
          <t>Soddy-Daisy</t>
        </is>
      </c>
      <c r="G587" s="9" t="inlineStr">
        <is>
          <t>11320 Dayton Pike</t>
        </is>
      </c>
      <c r="H587" s="9" t="inlineStr">
        <is>
          <t>37379</t>
        </is>
      </c>
      <c r="I587" s="9" t="n"/>
      <c r="J587" s="9" t="inlineStr">
        <is>
          <t>shufordsbbq.com</t>
        </is>
      </c>
      <c r="K587" s="10" t="n"/>
      <c r="L587" s="10" t="n"/>
      <c r="M587" s="10" t="n"/>
      <c r="N587" s="10" t="n"/>
      <c r="O587" s="9" t="inlineStr">
        <is>
          <t>OFFICIAL SITE: corrected website to shufordsbbq.com (the sheet pointed at a third-party menu aggregator). Their site confirms the Soddy-Daisy location but publishes no address or phone, so those remain unconfirmed.</t>
        </is>
      </c>
    </row>
    <row r="588">
      <c r="A588" s="13" t="inlineStr">
        <is>
          <t>B</t>
        </is>
      </c>
      <c r="B588" s="11" t="inlineStr">
        <is>
          <t>Unconfirmed - verify before calling</t>
        </is>
      </c>
      <c r="C588" s="9" t="inlineStr">
        <is>
          <t>Wholesale Beverages</t>
        </is>
      </c>
      <c r="D588" s="9" t="inlineStr">
        <is>
          <t>Beverage Distribution</t>
        </is>
      </c>
      <c r="E588" s="9" t="inlineStr">
        <is>
          <t>(423) 267-5691</t>
        </is>
      </c>
      <c r="F588" s="9" t="inlineStr">
        <is>
          <t>Chattanooga</t>
        </is>
      </c>
      <c r="G588" s="9" t="inlineStr">
        <is>
          <t>537 Market Street Suite 100</t>
        </is>
      </c>
      <c r="H588" s="9" t="inlineStr">
        <is>
          <t>37402</t>
        </is>
      </c>
      <c r="I588" s="9" t="n"/>
      <c r="J588" s="9" t="n"/>
      <c r="K588" s="10" t="n"/>
      <c r="L588" s="10" t="n"/>
      <c r="M588" s="10" t="n"/>
      <c r="N588" s="10" t="n"/>
      <c r="O588" s="9" t="inlineStr">
        <is>
          <t>Gap-filled 2026-09-04: no official website found, but findable with a consistent number and address, so kept under the relaxed rule. Beverage distribution means delivery trucks on daily routes.</t>
        </is>
      </c>
    </row>
    <row r="589">
      <c r="A589" s="13" t="inlineStr">
        <is>
          <t>B</t>
        </is>
      </c>
      <c r="B589" s="12" t="inlineStr">
        <is>
          <t>No phone on file</t>
        </is>
      </c>
      <c r="C589" s="9" t="inlineStr">
        <is>
          <t>Extreme Excavating LLC</t>
        </is>
      </c>
      <c r="D589" s="9" t="inlineStr">
        <is>
          <t>Excavation / Grading</t>
        </is>
      </c>
      <c r="E589" s="9" t="n"/>
      <c r="F589" s="9" t="inlineStr">
        <is>
          <t>Hixson</t>
        </is>
      </c>
      <c r="G589" s="9" t="n"/>
      <c r="H589" s="9" t="inlineStr">
        <is>
          <t>37343</t>
        </is>
      </c>
      <c r="I589" s="9" t="n"/>
      <c r="J589" s="9" t="n"/>
      <c r="K589" s="10" t="n"/>
      <c r="L589" s="10" t="n"/>
      <c r="M589" s="10" t="n"/>
      <c r="N589" s="10" t="n"/>
      <c r="O589" s="9" t="inlineStr">
        <is>
          <t>Gap-filled 2026-09-04: no phone or website found for a Hixson business of this name. The only Extreme Excavating with a site, extremeexcavatingtn.com, is in SEVIER COUNTY at the other end of the state, and there is a separate extremeexcavating.com elsewhere. Neither is this company. The row stays empty; treat it as unverified until someone confirms the business exists here.</t>
        </is>
      </c>
    </row>
    <row r="590">
      <c r="A590" s="13" t="inlineStr">
        <is>
          <t>B</t>
        </is>
      </c>
      <c r="B590" s="12" t="inlineStr">
        <is>
          <t>No phone on file</t>
        </is>
      </c>
      <c r="C590" s="9" t="inlineStr">
        <is>
          <t>LegallyHighest® THC Seltzer</t>
        </is>
      </c>
      <c r="D590" s="9" t="inlineStr">
        <is>
          <t>Beverage Manufacturing &amp; Distribution</t>
        </is>
      </c>
      <c r="E590" s="9" t="n"/>
      <c r="F590" s="9" t="inlineStr">
        <is>
          <t>Chattanooga</t>
        </is>
      </c>
      <c r="G590" s="9" t="inlineStr">
        <is>
          <t>2310 Vance Avenue Suite 102</t>
        </is>
      </c>
      <c r="H590" s="9" t="inlineStr">
        <is>
          <t>37404</t>
        </is>
      </c>
      <c r="I590" s="9" t="n"/>
      <c r="J590" s="9" t="inlineStr">
        <is>
          <t>legallyhighest.com</t>
        </is>
      </c>
      <c r="K590" s="10" t="n"/>
      <c r="L590" s="10" t="n"/>
      <c r="M590" s="10" t="n"/>
      <c r="N590" s="10" t="n"/>
      <c r="O590" s="9" t="inlineStr">
        <is>
          <t>Gap-filled 2026-09-04: still no phone. Their own site publishes none and no listing carries one either; the email addresses on their contact and distribution pages are obfuscated against scraping. The wholesale form on legallyhighest.com remains the only route in.</t>
        </is>
      </c>
    </row>
    <row r="591">
      <c r="A591" s="14" t="inlineStr">
        <is>
          <t>C</t>
        </is>
      </c>
      <c r="B591" s="9" t="inlineStr">
        <is>
          <t>Confirmed on company site</t>
        </is>
      </c>
      <c r="C591" s="9" t="inlineStr">
        <is>
          <t>Access Garage Door &amp; More</t>
        </is>
      </c>
      <c r="D591" s="9" t="inlineStr">
        <is>
          <t>Garage Door</t>
        </is>
      </c>
      <c r="E591" s="9" t="inlineStr">
        <is>
          <t>(423) 212-9107</t>
        </is>
      </c>
      <c r="F591" s="9" t="inlineStr">
        <is>
          <t>Hixson</t>
        </is>
      </c>
      <c r="G591" s="9" t="inlineStr">
        <is>
          <t>7335 B Hixson Pike</t>
        </is>
      </c>
      <c r="H591" s="9" t="inlineStr">
        <is>
          <t>37343</t>
        </is>
      </c>
      <c r="I591" s="9" t="inlineStr">
        <is>
          <t>info@accessfranchising.com</t>
        </is>
      </c>
      <c r="J591" s="9" t="inlineStr">
        <is>
          <t>accessdoorcompany.com</t>
        </is>
      </c>
      <c r="K591" s="10" t="n"/>
      <c r="L591" s="10" t="n"/>
      <c r="M591" s="10" t="n"/>
      <c r="N591" s="10" t="n"/>
      <c r="O591" s="9" t="inlineStr">
        <is>
          <t>OFFICIAL SITE confirmed the Hixson address; their page adds email info@accessfranchising.com and a franchise line 877-267-3687. Does commercial rolling doors and enclosures as well as residential.</t>
        </is>
      </c>
    </row>
    <row r="592">
      <c r="A592" s="14" t="inlineStr">
        <is>
          <t>C</t>
        </is>
      </c>
      <c r="B592" s="9" t="inlineStr">
        <is>
          <t>Confirmed on company site</t>
        </is>
      </c>
      <c r="C592" s="9" t="inlineStr">
        <is>
          <t>Bibas Italian Restaurant</t>
        </is>
      </c>
      <c r="D592" s="9" t="inlineStr">
        <is>
          <t>Restaurant / Catering</t>
        </is>
      </c>
      <c r="E592" s="9" t="inlineStr">
        <is>
          <t>(423) 843-0001</t>
        </is>
      </c>
      <c r="F592" s="9" t="inlineStr">
        <is>
          <t>Chattanooga</t>
        </is>
      </c>
      <c r="G592" s="9" t="inlineStr">
        <is>
          <t>5918 Hixson Pike</t>
        </is>
      </c>
      <c r="H592" s="9" t="inlineStr">
        <is>
          <t>37343</t>
        </is>
      </c>
      <c r="I592" s="9" t="n"/>
      <c r="J592" s="9" t="inlineStr">
        <is>
          <t>italianrestauranthixson.com</t>
        </is>
      </c>
      <c r="K592" s="10" t="n"/>
      <c r="L592" s="10" t="n"/>
      <c r="M592" s="10" t="n"/>
      <c r="N592" s="10" t="n"/>
      <c r="O592" s="9" t="inlineStr">
        <is>
          <t>OFFICIAL SITE: address and phone confirmed. CORRECTED city to Chattanooga per their own listing. Family-owned chain with GA locations; does catering.</t>
        </is>
      </c>
    </row>
    <row r="593">
      <c r="A593" s="14" t="inlineStr">
        <is>
          <t>C</t>
        </is>
      </c>
      <c r="B593" s="9" t="inlineStr">
        <is>
          <t>Confirmed on company site</t>
        </is>
      </c>
      <c r="C593" s="9" t="inlineStr">
        <is>
          <t>Breeding Insulation Company</t>
        </is>
      </c>
      <c r="D593" s="9" t="inlineStr">
        <is>
          <t>Insulation</t>
        </is>
      </c>
      <c r="E593" s="9" t="inlineStr">
        <is>
          <t>(423) 698-8019</t>
        </is>
      </c>
      <c r="F593" s="9" t="inlineStr">
        <is>
          <t>Chattanooga</t>
        </is>
      </c>
      <c r="G593" s="9" t="inlineStr">
        <is>
          <t>2505 N Orchard Knob Ave</t>
        </is>
      </c>
      <c r="H593" s="9" t="inlineStr">
        <is>
          <t>37406</t>
        </is>
      </c>
      <c r="I593" s="9" t="n"/>
      <c r="J593" s="9" t="inlineStr">
        <is>
          <t>breedinginsulationtn.com</t>
        </is>
      </c>
      <c r="K593" s="10" t="n"/>
      <c r="L593" s="10" t="n"/>
      <c r="M593" s="10" t="n"/>
      <c r="N593" s="10" t="n"/>
      <c r="O593" s="9" t="inlineStr">
        <is>
          <t>OFFICIAL SITE: address+phone confirmed; 30+ yrs commercial insulation</t>
        </is>
      </c>
    </row>
    <row r="594">
      <c r="A594" s="14" t="inlineStr">
        <is>
          <t>C</t>
        </is>
      </c>
      <c r="B594" s="9" t="inlineStr">
        <is>
          <t>Confirmed on company site</t>
        </is>
      </c>
      <c r="C594" s="9" t="inlineStr">
        <is>
          <t>Chattanooga Foundation Repair LLC</t>
        </is>
      </c>
      <c r="D594" s="9" t="inlineStr">
        <is>
          <t>Foundation Repair / Waterproofing</t>
        </is>
      </c>
      <c r="E594" s="9" t="inlineStr">
        <is>
          <t>(423) 225-9487</t>
        </is>
      </c>
      <c r="F594" s="9" t="inlineStr">
        <is>
          <t>Chattanooga</t>
        </is>
      </c>
      <c r="G594" s="9" t="inlineStr">
        <is>
          <t>1704 Bailey Ave</t>
        </is>
      </c>
      <c r="H594" s="9" t="inlineStr">
        <is>
          <t>37404</t>
        </is>
      </c>
      <c r="I594" s="9" t="n"/>
      <c r="J594" s="9" t="inlineStr">
        <is>
          <t>chattanoogafoundationpros.com</t>
        </is>
      </c>
      <c r="K594" s="10" t="n"/>
      <c r="L594" s="10" t="n"/>
      <c r="M594" s="10" t="n"/>
      <c r="N594" s="10" t="n"/>
      <c r="O594" s="9" t="inlineStr">
        <is>
          <t>OFFICIAL SITE: address and phone 423-225-9487 confirmed. Caution - the site also carries unrelated SEO filler pages, so treat it as thin; worth a live call before working the lead.</t>
        </is>
      </c>
    </row>
    <row r="595">
      <c r="A595" s="14" t="inlineStr">
        <is>
          <t>C</t>
        </is>
      </c>
      <c r="B595" s="9" t="inlineStr">
        <is>
          <t>Confirmed on company site</t>
        </is>
      </c>
      <c r="C595" s="9" t="inlineStr">
        <is>
          <t>Chicken Salad Chick - Hixson</t>
        </is>
      </c>
      <c r="D595" s="9" t="inlineStr">
        <is>
          <t>Restaurant / Catering</t>
        </is>
      </c>
      <c r="E595" s="9" t="inlineStr">
        <is>
          <t>(423) 668-0098</t>
        </is>
      </c>
      <c r="F595" s="9" t="inlineStr">
        <is>
          <t>Hixson</t>
        </is>
      </c>
      <c r="G595" s="9" t="inlineStr">
        <is>
          <t>5100 Hixson Pike</t>
        </is>
      </c>
      <c r="H595" s="9" t="inlineStr">
        <is>
          <t>37343</t>
        </is>
      </c>
      <c r="I595" s="9" t="n"/>
      <c r="J595" s="9" t="inlineStr">
        <is>
          <t>chickensaladchick.com</t>
        </is>
      </c>
      <c r="K595" s="10" t="n"/>
      <c r="L595" s="10" t="n"/>
      <c r="M595" s="10" t="n"/>
      <c r="N595" s="10" t="n"/>
      <c r="O595" s="9" t="inlineStr">
        <is>
          <t>OFFICIAL SITE: address and phone confirmed. Closed Sundays.</t>
        </is>
      </c>
    </row>
    <row r="596">
      <c r="A596" s="14" t="inlineStr">
        <is>
          <t>C</t>
        </is>
      </c>
      <c r="B596" s="9" t="inlineStr">
        <is>
          <t>Confirmed on company site</t>
        </is>
      </c>
      <c r="C596" s="9" t="inlineStr">
        <is>
          <t>Collegedale Coin Laundry</t>
        </is>
      </c>
      <c r="D596" s="9" t="inlineStr">
        <is>
          <t>Laundromat</t>
        </is>
      </c>
      <c r="E596" s="9" t="inlineStr">
        <is>
          <t>(423) 227-9926</t>
        </is>
      </c>
      <c r="F596" s="9" t="inlineStr">
        <is>
          <t>Ooltewah</t>
        </is>
      </c>
      <c r="G596" s="9" t="inlineStr">
        <is>
          <t>5032 Ooltewah Ringgold Rd</t>
        </is>
      </c>
      <c r="H596" s="9" t="inlineStr">
        <is>
          <t>37363</t>
        </is>
      </c>
      <c r="I596" s="9" t="n"/>
      <c r="J596" s="9" t="inlineStr">
        <is>
          <t>collegedalecoinlaundry.com</t>
        </is>
      </c>
      <c r="K596" s="10" t="n"/>
      <c r="L596" s="10" t="n"/>
      <c r="M596" s="10" t="n"/>
      <c r="N596" s="10" t="n"/>
      <c r="O596" s="9" t="inlineStr">
        <is>
          <t>OFFICIAL SITE: address and phone confirmed. CORRECTED city to Ooltewah (sheet said Collegedale). Open 24h, trading since 1992. Email shown only truncated on the site.</t>
        </is>
      </c>
    </row>
    <row r="597">
      <c r="A597" s="14" t="inlineStr">
        <is>
          <t>C</t>
        </is>
      </c>
      <c r="B597" s="9" t="inlineStr">
        <is>
          <t>Confirmed on company site</t>
        </is>
      </c>
      <c r="C597" s="9" t="inlineStr">
        <is>
          <t>Collegedale Credit Union</t>
        </is>
      </c>
      <c r="D597" s="9" t="inlineStr">
        <is>
          <t>Credit Union / Financial Services</t>
        </is>
      </c>
      <c r="E597" s="9" t="inlineStr">
        <is>
          <t>(423) 396-2101</t>
        </is>
      </c>
      <c r="F597" s="9" t="inlineStr">
        <is>
          <t>Collegedale</t>
        </is>
      </c>
      <c r="G597" s="9" t="inlineStr">
        <is>
          <t>5046 University Dr</t>
        </is>
      </c>
      <c r="H597" s="9" t="inlineStr">
        <is>
          <t>37315</t>
        </is>
      </c>
      <c r="I597" s="9" t="inlineStr">
        <is>
          <t>ccu@collegedale.org</t>
        </is>
      </c>
      <c r="J597" s="9" t="inlineStr">
        <is>
          <t>collegedale.org</t>
        </is>
      </c>
      <c r="K597" s="10" t="n"/>
      <c r="L597" s="10" t="n"/>
      <c r="M597" s="10" t="n"/>
      <c r="N597" s="10" t="n"/>
      <c r="O597" s="9" t="inlineStr">
        <is>
          <t>OFFICIAL SITE: address, phone and email confirmed. Also cculending@ and ccumemberservices@collegedale.org; fax 423-396-2702.</t>
        </is>
      </c>
    </row>
    <row r="598">
      <c r="A598" s="14" t="inlineStr">
        <is>
          <t>C</t>
        </is>
      </c>
      <c r="B598" s="9" t="inlineStr">
        <is>
          <t>Confirmed on company site</t>
        </is>
      </c>
      <c r="C598" s="9" t="inlineStr">
        <is>
          <t>Fast Pace Health Urgent Care (Soddy-Daisy)</t>
        </is>
      </c>
      <c r="D598" s="9" t="inlineStr">
        <is>
          <t>Urgent Care Clinic</t>
        </is>
      </c>
      <c r="E598" s="9" t="inlineStr">
        <is>
          <t>(423) 451-4018</t>
        </is>
      </c>
      <c r="F598" s="9" t="inlineStr">
        <is>
          <t>Soddy-Daisy</t>
        </is>
      </c>
      <c r="G598" s="9" t="inlineStr">
        <is>
          <t>9325 Dayton Pike</t>
        </is>
      </c>
      <c r="H598" s="9" t="inlineStr">
        <is>
          <t>37379</t>
        </is>
      </c>
      <c r="I598" s="9" t="n"/>
      <c r="J598" s="9" t="inlineStr">
        <is>
          <t>fastpacehealth.com</t>
        </is>
      </c>
      <c r="K598" s="10" t="n"/>
      <c r="L598" s="10" t="n"/>
      <c r="M598" s="10" t="n"/>
      <c r="N598" s="10" t="n"/>
      <c r="O598" s="9" t="inlineStr">
        <is>
          <t>OFFICIAL SITE: address and phone confirmed. Runs both urgent care and primary care in Soddy-Daisy.</t>
        </is>
      </c>
    </row>
    <row r="599">
      <c r="A599" s="14" t="inlineStr">
        <is>
          <t>C</t>
        </is>
      </c>
      <c r="B599" s="9" t="inlineStr">
        <is>
          <t>Confirmed on company site</t>
        </is>
      </c>
      <c r="C599" s="9" t="inlineStr">
        <is>
          <t>Hawaiian Bros</t>
        </is>
      </c>
      <c r="D599" s="9" t="inlineStr">
        <is>
          <t>Restaurant / Delivery</t>
        </is>
      </c>
      <c r="E599" s="9" t="inlineStr">
        <is>
          <t>(423) 471-4811</t>
        </is>
      </c>
      <c r="F599" s="9" t="inlineStr">
        <is>
          <t>Hixson</t>
        </is>
      </c>
      <c r="G599" s="9" t="inlineStr">
        <is>
          <t>5118 Hixson Pike</t>
        </is>
      </c>
      <c r="H599" s="9" t="inlineStr">
        <is>
          <t>37343</t>
        </is>
      </c>
      <c r="I599" s="9" t="n"/>
      <c r="J599" s="9" t="inlineStr">
        <is>
          <t>hawaiianbros.com</t>
        </is>
      </c>
      <c r="K599" s="10" t="n"/>
      <c r="L599" s="10" t="n"/>
      <c r="M599" s="10" t="n"/>
      <c r="N599" s="10" t="n"/>
      <c r="O599" s="9" t="inlineStr">
        <is>
          <t>OFFICIAL SITE: address and phone confirmed. Dine-in, drive-thru and delivery.</t>
        </is>
      </c>
    </row>
    <row r="600">
      <c r="A600" s="14" t="inlineStr">
        <is>
          <t>C</t>
        </is>
      </c>
      <c r="B600" s="9" t="inlineStr">
        <is>
          <t>Confirmed on company site</t>
        </is>
      </c>
      <c r="C600" s="9" t="inlineStr">
        <is>
          <t>Hixson Dental Group</t>
        </is>
      </c>
      <c r="D600" s="9" t="inlineStr">
        <is>
          <t>Dental Practice</t>
        </is>
      </c>
      <c r="E600" s="9" t="inlineStr">
        <is>
          <t>(423) 843-0418</t>
        </is>
      </c>
      <c r="F600" s="9" t="inlineStr">
        <is>
          <t>Hixson</t>
        </is>
      </c>
      <c r="G600" s="9" t="inlineStr">
        <is>
          <t>1605 Williams Rd</t>
        </is>
      </c>
      <c r="H600" s="9" t="inlineStr">
        <is>
          <t>37343</t>
        </is>
      </c>
      <c r="I600" s="9" t="inlineStr">
        <is>
          <t>info@hixsondentalgroup.com</t>
        </is>
      </c>
      <c r="J600" s="9" t="inlineStr">
        <is>
          <t>hixsondentalgroup.com</t>
        </is>
      </c>
      <c r="K600" s="10" t="n"/>
      <c r="L600" s="10" t="n"/>
      <c r="M600" s="10" t="n"/>
      <c r="N600" s="10" t="n"/>
      <c r="O600" s="9" t="inlineStr">
        <is>
          <t>NEW LEAD. OFFICIAL SITE: found their website, address, phone and email. Serving Hixson and Chattanooga 35+ years.</t>
        </is>
      </c>
    </row>
    <row r="601">
      <c r="A601" s="14" t="inlineStr">
        <is>
          <t>C</t>
        </is>
      </c>
      <c r="B601" s="9" t="inlineStr">
        <is>
          <t>Confirmed on company site</t>
        </is>
      </c>
      <c r="C601" s="9" t="inlineStr">
        <is>
          <t>Hixson Elementary School</t>
        </is>
      </c>
      <c r="D601" s="9" t="inlineStr">
        <is>
          <t>Public School (Hamilton County Schools)</t>
        </is>
      </c>
      <c r="E601" s="9" t="inlineStr">
        <is>
          <t>(423) 870-0621</t>
        </is>
      </c>
      <c r="F601" s="9" t="inlineStr">
        <is>
          <t>Hixson</t>
        </is>
      </c>
      <c r="G601" s="9" t="inlineStr">
        <is>
          <t>5950 Winding Ln</t>
        </is>
      </c>
      <c r="H601" s="9" t="inlineStr">
        <is>
          <t>37343</t>
        </is>
      </c>
      <c r="I601" s="9" t="n"/>
      <c r="J601" s="9" t="inlineStr">
        <is>
          <t>hes.hcde.org</t>
        </is>
      </c>
      <c r="K601" s="10" t="n"/>
      <c r="L601" s="10" t="n"/>
      <c r="M601" s="10" t="n"/>
      <c r="N601" s="10" t="n"/>
      <c r="O601" s="9" t="inlineStr">
        <is>
          <t>OFFICIAL SITE: address and phone confirmed (fax 423-870-0628, principal Ursula Greene). District uses web forms rather than published email.</t>
        </is>
      </c>
    </row>
    <row r="602">
      <c r="A602" s="14" t="inlineStr">
        <is>
          <t>C</t>
        </is>
      </c>
      <c r="B602" s="9" t="inlineStr">
        <is>
          <t>Confirmed on company site</t>
        </is>
      </c>
      <c r="C602" s="9" t="inlineStr">
        <is>
          <t>Hixson Pike Dental</t>
        </is>
      </c>
      <c r="D602" s="9" t="inlineStr">
        <is>
          <t>Dental Practice</t>
        </is>
      </c>
      <c r="E602" s="9" t="inlineStr">
        <is>
          <t>(423) 842-2420</t>
        </is>
      </c>
      <c r="F602" s="9" t="inlineStr">
        <is>
          <t>Hixson</t>
        </is>
      </c>
      <c r="G602" s="9" t="inlineStr">
        <is>
          <t>5109 Skillern Dr</t>
        </is>
      </c>
      <c r="H602" s="9" t="inlineStr">
        <is>
          <t>37343</t>
        </is>
      </c>
      <c r="I602" s="9" t="n"/>
      <c r="J602" s="9" t="inlineStr">
        <is>
          <t>hixsonpikedental.com</t>
        </is>
      </c>
      <c r="K602" s="10" t="n"/>
      <c r="L602" s="10" t="n"/>
      <c r="M602" s="10" t="n"/>
      <c r="N602" s="10" t="n"/>
      <c r="O602" s="9" t="inlineStr">
        <is>
          <t>OFFICIAL SITE: phone confirmed. Street address not published; also serves Harrison.</t>
        </is>
      </c>
    </row>
    <row r="603">
      <c r="A603" s="14" t="inlineStr">
        <is>
          <t>C</t>
        </is>
      </c>
      <c r="B603" s="9" t="inlineStr">
        <is>
          <t>Confirmed on company site</t>
        </is>
      </c>
      <c r="C603" s="9" t="inlineStr">
        <is>
          <t>Lee Roofing, LLC</t>
        </is>
      </c>
      <c r="D603" s="9" t="inlineStr">
        <is>
          <t>Roofing</t>
        </is>
      </c>
      <c r="E603" s="9" t="inlineStr">
        <is>
          <t>(423) 589-1792</t>
        </is>
      </c>
      <c r="F603" s="9" t="inlineStr">
        <is>
          <t>Chattanooga</t>
        </is>
      </c>
      <c r="G603" s="9" t="inlineStr">
        <is>
          <t>5950 Lee Hwy</t>
        </is>
      </c>
      <c r="H603" s="9" t="inlineStr">
        <is>
          <t>37421</t>
        </is>
      </c>
      <c r="I603" s="9" t="n"/>
      <c r="J603" s="9" t="inlineStr">
        <is>
          <t>leeroofingcompany.com</t>
        </is>
      </c>
      <c r="K603" s="10" t="n"/>
      <c r="L603" s="10" t="n"/>
      <c r="M603" s="10" t="n"/>
      <c r="N603" s="10" t="n"/>
      <c r="O603" s="9" t="inlineStr">
        <is>
          <t>OFFICIAL SITE: CORRECTED phone to 423-589-1792 (sheet had 423-215-6365). Street address not published on their site.</t>
        </is>
      </c>
    </row>
    <row r="604">
      <c r="A604" s="14" t="inlineStr">
        <is>
          <t>C</t>
        </is>
      </c>
      <c r="B604" s="9" t="inlineStr">
        <is>
          <t>Confirmed on company site</t>
        </is>
      </c>
      <c r="C604" s="9" t="inlineStr">
        <is>
          <t>Lewis Foundation Repair (Lewis Construction &amp; Waterproofing)</t>
        </is>
      </c>
      <c r="D604" s="9" t="inlineStr">
        <is>
          <t>Foundation Repair / Waterproofing</t>
        </is>
      </c>
      <c r="E604" s="9" t="inlineStr">
        <is>
          <t>(423) 421-0664</t>
        </is>
      </c>
      <c r="F604" s="9" t="inlineStr">
        <is>
          <t>Soddy-Daisy</t>
        </is>
      </c>
      <c r="G604" s="9" t="inlineStr">
        <is>
          <t>8890 Hunt Rd</t>
        </is>
      </c>
      <c r="H604" s="9" t="inlineStr">
        <is>
          <t>37379</t>
        </is>
      </c>
      <c r="I604" s="9" t="inlineStr">
        <is>
          <t>lewishomebuilders@gmail.com</t>
        </is>
      </c>
      <c r="J604" s="9" t="inlineStr">
        <is>
          <t>lewisfoundationrepair.com</t>
        </is>
      </c>
      <c r="K604" s="10" t="n"/>
      <c r="L604" s="10" t="n"/>
      <c r="M604" s="10" t="n"/>
      <c r="N604" s="10" t="n"/>
      <c r="O604" s="9" t="inlineStr">
        <is>
          <t>OFFICIAL SITE: address, phone and email confirmed</t>
        </is>
      </c>
    </row>
    <row r="605">
      <c r="A605" s="14" t="inlineStr">
        <is>
          <t>C</t>
        </is>
      </c>
      <c r="B605" s="9" t="inlineStr">
        <is>
          <t>Confirmed on company site</t>
        </is>
      </c>
      <c r="C605" s="9" t="inlineStr">
        <is>
          <t>Lookout Mountain Dental</t>
        </is>
      </c>
      <c r="D605" s="9" t="inlineStr">
        <is>
          <t>Dental Practice</t>
        </is>
      </c>
      <c r="E605" s="9" t="inlineStr">
        <is>
          <t>(423) 821-7508</t>
        </is>
      </c>
      <c r="F605" s="9" t="inlineStr">
        <is>
          <t>Lookout Mountain</t>
        </is>
      </c>
      <c r="G605" s="9" t="inlineStr">
        <is>
          <t>120 N Watauga Ln</t>
        </is>
      </c>
      <c r="H605" s="9" t="inlineStr">
        <is>
          <t>37350</t>
        </is>
      </c>
      <c r="I605" s="9" t="inlineStr">
        <is>
          <t>info@lookoutmountaindental.com</t>
        </is>
      </c>
      <c r="J605" s="9" t="inlineStr">
        <is>
          <t>lookoutmountaindental.com</t>
        </is>
      </c>
      <c r="K605" s="10" t="n"/>
      <c r="L605" s="10" t="n"/>
      <c r="M605" s="10" t="n"/>
      <c r="N605" s="10" t="n"/>
      <c r="O605" s="9" t="inlineStr">
        <is>
          <t>OFFICIAL SITE: address, phone and email confirmed.</t>
        </is>
      </c>
    </row>
    <row r="606">
      <c r="A606" s="14" t="inlineStr">
        <is>
          <t>C</t>
        </is>
      </c>
      <c r="B606" s="9" t="inlineStr">
        <is>
          <t>Confirmed on company site</t>
        </is>
      </c>
      <c r="C606" s="9" t="inlineStr">
        <is>
          <t>Northpoint Dental Company</t>
        </is>
      </c>
      <c r="D606" s="9" t="inlineStr">
        <is>
          <t>Dental Practice</t>
        </is>
      </c>
      <c r="E606" s="9" t="inlineStr">
        <is>
          <t>(423) 454-1935</t>
        </is>
      </c>
      <c r="F606" s="9" t="inlineStr">
        <is>
          <t>Soddy-Daisy</t>
        </is>
      </c>
      <c r="G606" s="9" t="inlineStr">
        <is>
          <t>124 Harrison Ln Ste 100</t>
        </is>
      </c>
      <c r="H606" s="9" t="inlineStr">
        <is>
          <t>37379</t>
        </is>
      </c>
      <c r="I606" s="9" t="inlineStr">
        <is>
          <t>42012@nadentalgroup.com</t>
        </is>
      </c>
      <c r="J606" s="9" t="inlineStr">
        <is>
          <t>northpointdentalco.com</t>
        </is>
      </c>
      <c r="K606" s="10" t="n"/>
      <c r="L606" s="10" t="n"/>
      <c r="M606" s="10" t="n"/>
      <c r="N606" s="10" t="n"/>
      <c r="O606" s="9" t="inlineStr">
        <is>
          <t>OFFICIAL SITE: address, phone and email confirmed. Second line 423-243-3044; also has a Hixson practice.</t>
        </is>
      </c>
    </row>
    <row r="607">
      <c r="A607" s="14" t="inlineStr">
        <is>
          <t>C</t>
        </is>
      </c>
      <c r="B607" s="9" t="inlineStr">
        <is>
          <t>Confirmed on company site</t>
        </is>
      </c>
      <c r="C607" s="9" t="inlineStr">
        <is>
          <t>Ooltewah Flooring Gallery</t>
        </is>
      </c>
      <c r="D607" s="9" t="inlineStr">
        <is>
          <t>Flooring</t>
        </is>
      </c>
      <c r="E607" s="9" t="inlineStr">
        <is>
          <t>(423) 521-3567</t>
        </is>
      </c>
      <c r="F607" s="9" t="inlineStr">
        <is>
          <t>Ooltewah</t>
        </is>
      </c>
      <c r="G607" s="9" t="inlineStr">
        <is>
          <t>6719 Mountain View Rd Ste 117</t>
        </is>
      </c>
      <c r="H607" s="9" t="inlineStr">
        <is>
          <t>37363</t>
        </is>
      </c>
      <c r="I607" s="9" t="inlineStr">
        <is>
          <t>rhonda@ooltewahflooringgallery.com</t>
        </is>
      </c>
      <c r="J607" s="9" t="inlineStr">
        <is>
          <t>ooltewahflooringgallery.com</t>
        </is>
      </c>
      <c r="K607" s="10" t="n"/>
      <c r="L607" s="10" t="n"/>
      <c r="M607" s="10" t="n"/>
      <c r="N607" s="10" t="n"/>
      <c r="O607" s="9" t="inlineStr">
        <is>
          <t>OFFICIAL SITE: address, phone and email confirmed</t>
        </is>
      </c>
    </row>
    <row r="608">
      <c r="A608" s="14" t="inlineStr">
        <is>
          <t>C</t>
        </is>
      </c>
      <c r="B608" s="9" t="inlineStr">
        <is>
          <t>Confirmed on company site</t>
        </is>
      </c>
      <c r="C608" s="9" t="inlineStr">
        <is>
          <t>Physicians Care Walk-in Clinic - Hixson</t>
        </is>
      </c>
      <c r="D608" s="9" t="inlineStr">
        <is>
          <t>Urgent Care / Medical</t>
        </is>
      </c>
      <c r="E608" s="9" t="inlineStr">
        <is>
          <t>(423) 875-0700</t>
        </is>
      </c>
      <c r="F608" s="9" t="inlineStr">
        <is>
          <t>Chattanooga</t>
        </is>
      </c>
      <c r="G608" s="9" t="inlineStr">
        <is>
          <t>4490 Hixson Pike</t>
        </is>
      </c>
      <c r="H608" s="9" t="inlineStr">
        <is>
          <t>37343</t>
        </is>
      </c>
      <c r="I608" s="9" t="n"/>
      <c r="J608" s="9" t="inlineStr">
        <is>
          <t>urgentteam.com</t>
        </is>
      </c>
      <c r="K608" s="10" t="n"/>
      <c r="L608" s="10" t="n"/>
      <c r="M608" s="10" t="n"/>
      <c r="N608" s="10" t="n"/>
      <c r="O608" s="9" t="inlineStr">
        <is>
          <t>OFFICIAL SITE: address confirmed. CORRECTED city to Chattanooga 37343. Phone not published on the location page.</t>
        </is>
      </c>
    </row>
    <row r="609">
      <c r="A609" s="14" t="inlineStr">
        <is>
          <t>C</t>
        </is>
      </c>
      <c r="B609" s="9" t="inlineStr">
        <is>
          <t>Confirmed on company site</t>
        </is>
      </c>
      <c r="C609" s="9" t="inlineStr">
        <is>
          <t>Primrose School of Hixson</t>
        </is>
      </c>
      <c r="D609" s="9" t="inlineStr">
        <is>
          <t>Early Education / Childcare</t>
        </is>
      </c>
      <c r="E609" s="9" t="inlineStr">
        <is>
          <t>(423) 870-4840</t>
        </is>
      </c>
      <c r="F609" s="9" t="inlineStr">
        <is>
          <t>Hixson</t>
        </is>
      </c>
      <c r="G609" s="9" t="inlineStr">
        <is>
          <t>5170 Preschool Ln</t>
        </is>
      </c>
      <c r="H609" s="9" t="inlineStr">
        <is>
          <t>37343</t>
        </is>
      </c>
      <c r="I609" s="9" t="n"/>
      <c r="J609" s="9" t="inlineStr">
        <is>
          <t>primroseschools.com/schools/hixson</t>
        </is>
      </c>
      <c r="K609" s="10" t="n"/>
      <c r="L609" s="10" t="n"/>
      <c r="M609" s="10" t="n"/>
      <c r="N609" s="10" t="n"/>
      <c r="O609" s="9" t="inlineStr">
        <is>
          <t>NEW LEAD. OFFICIAL SITE: address, phone and school page confirmed. Open 7:00-18:00 weekdays.</t>
        </is>
      </c>
    </row>
    <row r="610">
      <c r="A610" s="14" t="inlineStr">
        <is>
          <t>C</t>
        </is>
      </c>
      <c r="B610" s="9" t="inlineStr">
        <is>
          <t>Confirmed on company site</t>
        </is>
      </c>
      <c r="C610" s="9" t="inlineStr">
        <is>
          <t>Sawrie Family Dentistry</t>
        </is>
      </c>
      <c r="D610" s="9" t="inlineStr">
        <is>
          <t>Dental Practice</t>
        </is>
      </c>
      <c r="E610" s="9" t="inlineStr">
        <is>
          <t>(423) 777-4393</t>
        </is>
      </c>
      <c r="F610" s="9" t="inlineStr">
        <is>
          <t>Signal Mountain</t>
        </is>
      </c>
      <c r="G610" s="9" t="inlineStr">
        <is>
          <t>1807 Taft Hwy Ste 4</t>
        </is>
      </c>
      <c r="H610" s="9" t="inlineStr">
        <is>
          <t>37377</t>
        </is>
      </c>
      <c r="I610" s="9" t="n"/>
      <c r="J610" s="9" t="inlineStr">
        <is>
          <t>sawriedental.com</t>
        </is>
      </c>
      <c r="K610" s="10" t="n"/>
      <c r="L610" s="10" t="n"/>
      <c r="M610" s="10" t="n"/>
      <c r="N610" s="10" t="n"/>
      <c r="O610" s="9" t="inlineStr">
        <is>
          <t>OFFICIAL SITE: address and phone confirmed. Their own page title still shows an older 1229 Taft Highway address; 1807 Taft Hwy Ste 4 is the one they publish as current.</t>
        </is>
      </c>
    </row>
    <row r="611">
      <c r="A611" s="14" t="inlineStr">
        <is>
          <t>C</t>
        </is>
      </c>
      <c r="B611" s="9" t="inlineStr">
        <is>
          <t>Confirmed on company site</t>
        </is>
      </c>
      <c r="C611" s="9" t="inlineStr">
        <is>
          <t>Soddy Daisy Smiles (Drs. Mandy &amp; Robert Shearer)</t>
        </is>
      </c>
      <c r="D611" s="9" t="inlineStr">
        <is>
          <t>Dental Practice</t>
        </is>
      </c>
      <c r="E611" s="9" t="inlineStr">
        <is>
          <t>(423) 332-5275</t>
        </is>
      </c>
      <c r="F611" s="9" t="inlineStr">
        <is>
          <t>Soddy-Daisy</t>
        </is>
      </c>
      <c r="G611" s="9" t="inlineStr">
        <is>
          <t>9759 Dayton Pike</t>
        </is>
      </c>
      <c r="H611" s="9" t="inlineStr">
        <is>
          <t>37379</t>
        </is>
      </c>
      <c r="I611" s="9" t="inlineStr">
        <is>
          <t>soddydaisysmiles@gmail.com</t>
        </is>
      </c>
      <c r="J611" s="9" t="inlineStr">
        <is>
          <t>soddydaisysmiles.com</t>
        </is>
      </c>
      <c r="K611" s="10" t="n"/>
      <c r="L611" s="10" t="n"/>
      <c r="M611" s="10" t="n"/>
      <c r="N611" s="10" t="n"/>
      <c r="O611" s="9" t="inlineStr">
        <is>
          <t>OFFICIAL SITE: address, phone and email confirmed.</t>
        </is>
      </c>
    </row>
    <row r="612">
      <c r="A612" s="14" t="inlineStr">
        <is>
          <t>C</t>
        </is>
      </c>
      <c r="B612" s="9" t="inlineStr">
        <is>
          <t>Confirmed on company site</t>
        </is>
      </c>
      <c r="C612" s="9" t="inlineStr">
        <is>
          <t>Storage Works</t>
        </is>
      </c>
      <c r="D612" s="9" t="inlineStr">
        <is>
          <t>Self-Storage</t>
        </is>
      </c>
      <c r="E612" s="9" t="inlineStr">
        <is>
          <t>(423) 332-8640</t>
        </is>
      </c>
      <c r="F612" s="9" t="inlineStr">
        <is>
          <t>Soddy-Daisy</t>
        </is>
      </c>
      <c r="G612" s="9" t="inlineStr">
        <is>
          <t>8701 Dayton Pike Ste 101</t>
        </is>
      </c>
      <c r="H612" s="9" t="inlineStr">
        <is>
          <t>37379</t>
        </is>
      </c>
      <c r="I612" s="9" t="n"/>
      <c r="J612" s="9" t="inlineStr">
        <is>
          <t>soddydaisystorageworks.com</t>
        </is>
      </c>
      <c r="K612" s="10" t="n"/>
      <c r="L612" s="10" t="n"/>
      <c r="M612" s="10" t="n"/>
      <c r="N612" s="10" t="n"/>
      <c r="O612" s="9" t="inlineStr">
        <is>
          <t>OFFICIAL SITE: address and phone confirmed.</t>
        </is>
      </c>
    </row>
    <row r="613">
      <c r="A613" s="14" t="inlineStr">
        <is>
          <t>C</t>
        </is>
      </c>
      <c r="B613" s="9" t="inlineStr">
        <is>
          <t>Confirmed on company site</t>
        </is>
      </c>
      <c r="C613" s="9" t="inlineStr">
        <is>
          <t>Tedford Family Dentistry</t>
        </is>
      </c>
      <c r="D613" s="9" t="inlineStr">
        <is>
          <t>Dental</t>
        </is>
      </c>
      <c r="E613" s="9" t="inlineStr">
        <is>
          <t>(423) 238-8887</t>
        </is>
      </c>
      <c r="F613" s="9" t="inlineStr">
        <is>
          <t>Ooltewah</t>
        </is>
      </c>
      <c r="G613" s="9" t="inlineStr">
        <is>
          <t>9380 Bradmore Ln Ste 108</t>
        </is>
      </c>
      <c r="H613" s="9" t="inlineStr">
        <is>
          <t>37363</t>
        </is>
      </c>
      <c r="I613" s="9" t="n"/>
      <c r="J613" s="9" t="inlineStr">
        <is>
          <t>tedfordfamilydentistry.com</t>
        </is>
      </c>
      <c r="K613" s="10" t="n"/>
      <c r="L613" s="10" t="n"/>
      <c r="M613" s="10" t="n"/>
      <c r="N613" s="10" t="n"/>
      <c r="O613" s="9" t="inlineStr">
        <is>
          <t>OFFICIAL SITE: address and phone confirmed. Email on site is obfuscated, none published in the clear.</t>
        </is>
      </c>
    </row>
    <row r="614">
      <c r="A614" s="14" t="inlineStr">
        <is>
          <t>C</t>
        </is>
      </c>
      <c r="B614" s="9" t="inlineStr">
        <is>
          <t>Confirmed on company site</t>
        </is>
      </c>
      <c r="C614" s="9" t="inlineStr">
        <is>
          <t>Wolftever Dental (Brooks Pruehs, DDS)</t>
        </is>
      </c>
      <c r="D614" s="9" t="inlineStr">
        <is>
          <t>Dental</t>
        </is>
      </c>
      <c r="E614" s="9" t="inlineStr">
        <is>
          <t>(423) 238-5744</t>
        </is>
      </c>
      <c r="F614" s="9" t="inlineStr">
        <is>
          <t>Ooltewah</t>
        </is>
      </c>
      <c r="G614" s="9" t="inlineStr">
        <is>
          <t>9203 Lee Hwy, Ste 16</t>
        </is>
      </c>
      <c r="H614" s="9" t="inlineStr">
        <is>
          <t>37363</t>
        </is>
      </c>
      <c r="I614" s="9" t="n"/>
      <c r="J614" s="9" t="inlineStr">
        <is>
          <t>wolfteverdental.com</t>
        </is>
      </c>
      <c r="K614" s="10" t="n"/>
      <c r="L614" s="10" t="n"/>
      <c r="M614" s="10" t="n"/>
      <c r="N614" s="10" t="n"/>
      <c r="O614" s="9" t="inlineStr">
        <is>
          <t>OFFICIAL SITE: the practice now trades as White Oak Dental - wolfteverdental.com resolves to it and Dr Brooks Pruehs is still there. Found the website; the sheet had none. Address and phone not published in results.</t>
        </is>
      </c>
    </row>
    <row r="615">
      <c r="A615" s="14" t="inlineStr">
        <is>
          <t>C</t>
        </is>
      </c>
      <c r="B615" s="9" t="inlineStr">
        <is>
          <t>Confirmed on company site</t>
        </is>
      </c>
      <c r="C615" s="9" t="inlineStr">
        <is>
          <t>Woodall Agency Insurance</t>
        </is>
      </c>
      <c r="D615" s="9" t="inlineStr">
        <is>
          <t>Insurance Agency</t>
        </is>
      </c>
      <c r="E615" s="9" t="inlineStr">
        <is>
          <t>(423) 266-6716</t>
        </is>
      </c>
      <c r="F615" s="9" t="inlineStr">
        <is>
          <t>Lookout Mountain</t>
        </is>
      </c>
      <c r="G615" s="9" t="inlineStr">
        <is>
          <t>431 W Brow Rd</t>
        </is>
      </c>
      <c r="H615" s="9" t="inlineStr">
        <is>
          <t>37350</t>
        </is>
      </c>
      <c r="I615" s="9" t="n"/>
      <c r="J615" s="9" t="inlineStr">
        <is>
          <t>woodallagency.com</t>
        </is>
      </c>
      <c r="K615" s="10" t="n"/>
      <c r="L615" s="10" t="n"/>
      <c r="M615" s="10" t="n"/>
      <c r="N615" s="10" t="n"/>
      <c r="O615" s="9" t="inlineStr">
        <is>
          <t>OFFICIAL SITE: found their website - the sheet had none. Agency confirmed active in Chattanooga. Address and phone not published in results.</t>
        </is>
      </c>
    </row>
    <row r="616">
      <c r="A616" s="14" t="inlineStr">
        <is>
          <t>C</t>
        </is>
      </c>
      <c r="B616" s="9" t="inlineStr">
        <is>
          <t>Not phone re-checked</t>
        </is>
      </c>
      <c r="C616" s="9" t="inlineStr">
        <is>
          <t>A&amp;D Masonry</t>
        </is>
      </c>
      <c r="D616" s="9" t="inlineStr">
        <is>
          <t>Masonry</t>
        </is>
      </c>
      <c r="E616" s="9" t="inlineStr">
        <is>
          <t>(423) 999-0466</t>
        </is>
      </c>
      <c r="F616" s="9" t="inlineStr">
        <is>
          <t>Chattanooga</t>
        </is>
      </c>
      <c r="G616" s="9" t="inlineStr">
        <is>
          <t>1013 Blanton Dr</t>
        </is>
      </c>
      <c r="H616" s="9" t="inlineStr">
        <is>
          <t>37412</t>
        </is>
      </c>
      <c r="I616" s="9" t="inlineStr">
        <is>
          <t>contact@admasonry.us</t>
        </is>
      </c>
      <c r="J616" s="9" t="inlineStr">
        <is>
          <t>admasonry.us</t>
        </is>
      </c>
      <c r="K616" s="10" t="n"/>
      <c r="L616" s="10" t="n"/>
      <c r="M616" s="10" t="n"/>
      <c r="N616" s="10" t="n"/>
      <c r="O616" s="9" t="inlineStr">
        <is>
          <t>Gap-filled 2026-09-04: website and a working email added; the phone already in the row was confirmed unchanged.</t>
        </is>
      </c>
    </row>
    <row r="617">
      <c r="A617" s="14" t="inlineStr">
        <is>
          <t>C</t>
        </is>
      </c>
      <c r="B617" s="9" t="inlineStr">
        <is>
          <t>Not phone re-checked</t>
        </is>
      </c>
      <c r="C617" s="9" t="inlineStr">
        <is>
          <t>AGC East Tennessee</t>
        </is>
      </c>
      <c r="D617" s="9" t="inlineStr">
        <is>
          <t>Construction Trade Association</t>
        </is>
      </c>
      <c r="E617" s="9" t="inlineStr">
        <is>
          <t>(423) 265-1111</t>
        </is>
      </c>
      <c r="F617" s="9" t="inlineStr">
        <is>
          <t>Chattanooga</t>
        </is>
      </c>
      <c r="G617" s="9" t="inlineStr">
        <is>
          <t>2225 Roanoke Avenue</t>
        </is>
      </c>
      <c r="H617" s="9" t="inlineStr">
        <is>
          <t>37403</t>
        </is>
      </c>
      <c r="I617" s="9" t="n"/>
      <c r="J617" s="9" t="inlineStr">
        <is>
          <t>agcetn.org</t>
        </is>
      </c>
      <c r="K617" s="10" t="n"/>
      <c r="L617" s="10" t="n"/>
      <c r="M617" s="10" t="n"/>
      <c r="N617" s="10" t="n"/>
      <c r="O617" s="9" t="inlineStr">
        <is>
          <t>A trade association, not a contractor - almost no fleet of its own. But their member directory is a list of every commercial contractor in East Tennessee, which is worth more to you than the association itself.</t>
        </is>
      </c>
    </row>
    <row r="618">
      <c r="A618" s="14" t="inlineStr">
        <is>
          <t>C</t>
        </is>
      </c>
      <c r="B618" s="9" t="inlineStr">
        <is>
          <t>Not phone re-checked</t>
        </is>
      </c>
      <c r="C618" s="9" t="inlineStr">
        <is>
          <t>All About Concrete &amp; Masonry</t>
        </is>
      </c>
      <c r="D618" s="9" t="inlineStr">
        <is>
          <t>Masonry</t>
        </is>
      </c>
      <c r="E618" s="9" t="inlineStr">
        <is>
          <t>(423) 208-4275</t>
        </is>
      </c>
      <c r="F618" s="9" t="inlineStr">
        <is>
          <t>Ooltewah</t>
        </is>
      </c>
      <c r="G618" s="9" t="inlineStr">
        <is>
          <t>3921 Woodland Dr</t>
        </is>
      </c>
      <c r="H618" s="9" t="inlineStr">
        <is>
          <t>37363</t>
        </is>
      </c>
      <c r="I618" s="9" t="n"/>
      <c r="J618" s="9" t="inlineStr">
        <is>
          <t>aaconcretemasonry.com</t>
        </is>
      </c>
      <c r="K618" s="10" t="n"/>
      <c r="L618" s="10" t="n"/>
      <c r="M618" s="10" t="n"/>
      <c r="N618" s="10" t="n"/>
      <c r="O618" s="9" t="inlineStr">
        <is>
          <t>Gap-filled 2026-09-04: website added, phone confirmed unchanged. A mobile number is published as well - (423) 225-3064 - which is often the faster route to a small crew.</t>
        </is>
      </c>
    </row>
    <row r="619">
      <c r="A619" s="14" t="inlineStr">
        <is>
          <t>C</t>
        </is>
      </c>
      <c r="B619" s="9" t="inlineStr">
        <is>
          <t>Not phone re-checked</t>
        </is>
      </c>
      <c r="C619" s="9" t="inlineStr">
        <is>
          <t>Boilermakers Local 454</t>
        </is>
      </c>
      <c r="D619" s="9" t="inlineStr">
        <is>
          <t>Boilermakers Union Local</t>
        </is>
      </c>
      <c r="E619" s="9" t="inlineStr">
        <is>
          <t>(423) 267-1415</t>
        </is>
      </c>
      <c r="F619" s="9" t="inlineStr">
        <is>
          <t>Chattanooga</t>
        </is>
      </c>
      <c r="G619" s="9" t="inlineStr">
        <is>
          <t>301 Frazier Ave</t>
        </is>
      </c>
      <c r="H619" s="9" t="inlineStr">
        <is>
          <t>37405</t>
        </is>
      </c>
      <c r="I619" s="9" t="n"/>
      <c r="J619" s="9" t="inlineStr">
        <is>
          <t>boilermakerslocal454.org</t>
        </is>
      </c>
      <c r="K619" s="10" t="n"/>
      <c r="L619" s="10" t="n"/>
      <c r="M619" s="10" t="n"/>
      <c r="N619" s="10" t="n"/>
      <c r="O619" s="9" t="inlineStr">
        <is>
          <t>A union hall rather than a contractor, so little fleet of its own - but they dispatch to TVA plant work and the district office is also local.</t>
        </is>
      </c>
    </row>
    <row r="620">
      <c r="A620" s="14" t="inlineStr">
        <is>
          <t>C</t>
        </is>
      </c>
      <c r="B620" s="9" t="inlineStr">
        <is>
          <t>Not phone re-checked</t>
        </is>
      </c>
      <c r="C620" s="9" t="inlineStr">
        <is>
          <t>Brown Bag Catering</t>
        </is>
      </c>
      <c r="D620" s="9" t="inlineStr">
        <is>
          <t>Catering</t>
        </is>
      </c>
      <c r="E620" s="9" t="inlineStr">
        <is>
          <t>(423) 443-7700</t>
        </is>
      </c>
      <c r="F620" s="9" t="inlineStr">
        <is>
          <t>Chattanooga</t>
        </is>
      </c>
      <c r="G620" s="9" t="inlineStr">
        <is>
          <t>1924 Gunbarrel Rd</t>
        </is>
      </c>
      <c r="H620" s="9" t="inlineStr">
        <is>
          <t>37421</t>
        </is>
      </c>
      <c r="I620" s="9" t="inlineStr">
        <is>
          <t>Chattanooga@BrownBagNow.com</t>
        </is>
      </c>
      <c r="J620" s="9" t="inlineStr">
        <is>
          <t>brownbagnow.com</t>
        </is>
      </c>
      <c r="K620" s="10" t="n"/>
      <c r="L620" s="10" t="n"/>
      <c r="M620" s="10" t="n"/>
      <c r="N620" s="10" t="n"/>
      <c r="O620" s="9" t="inlineStr">
        <is>
          <t>verified brownbagnow.com live; catering line 423-413-3383</t>
        </is>
      </c>
    </row>
    <row r="621">
      <c r="A621" s="14" t="inlineStr">
        <is>
          <t>C</t>
        </is>
      </c>
      <c r="B621" s="9" t="inlineStr">
        <is>
          <t>Not phone re-checked</t>
        </is>
      </c>
      <c r="C621" s="9" t="inlineStr">
        <is>
          <t>BROWN DOG CONSTRUCTION</t>
        </is>
      </c>
      <c r="D621" s="9" t="inlineStr">
        <is>
          <t>Construction / Remodeling</t>
        </is>
      </c>
      <c r="E621" s="9" t="inlineStr">
        <is>
          <t>(423) 618-9931</t>
        </is>
      </c>
      <c r="F621" s="9" t="inlineStr">
        <is>
          <t>Chattanooga</t>
        </is>
      </c>
      <c r="G621" s="9" t="inlineStr">
        <is>
          <t>5911 Union Springs Road</t>
        </is>
      </c>
      <c r="H621" s="9" t="n"/>
      <c r="I621" s="9" t="n"/>
      <c r="J621" s="9" t="inlineStr">
        <is>
          <t>browndogconstruction.com</t>
        </is>
      </c>
      <c r="K621" s="10" t="n"/>
      <c r="L621" s="10" t="n"/>
      <c r="M621" s="10" t="n"/>
      <c r="N621" s="10" t="n"/>
      <c r="O621" s="9" t="inlineStr">
        <is>
          <t>Gap-filled 2026-09-04: phone, address and website added. Listings show a few different addresses; Union Springs Road is the one BBB and the Chamber agree on.</t>
        </is>
      </c>
    </row>
    <row r="622">
      <c r="A622" s="14" t="inlineStr">
        <is>
          <t>C</t>
        </is>
      </c>
      <c r="B622" s="9" t="inlineStr">
        <is>
          <t>Not phone re-checked</t>
        </is>
      </c>
      <c r="C622" s="9" t="inlineStr">
        <is>
          <t>CAMERON HARBOR, LLC</t>
        </is>
      </c>
      <c r="D622" s="9" t="inlineStr">
        <is>
          <t>Residential Development</t>
        </is>
      </c>
      <c r="E622" s="9" t="inlineStr">
        <is>
          <t>(423) 667-5922</t>
        </is>
      </c>
      <c r="F622" s="9" t="inlineStr">
        <is>
          <t>Chattanooga</t>
        </is>
      </c>
      <c r="G622" s="9" t="n"/>
      <c r="H622" s="9" t="n"/>
      <c r="I622" s="9" t="n"/>
      <c r="J622" s="9" t="inlineStr">
        <is>
          <t>cameronharbor.com</t>
        </is>
      </c>
      <c r="K622" s="10" t="n"/>
      <c r="L622" s="10" t="n"/>
      <c r="M622" s="10" t="n"/>
      <c r="N622" s="10" t="n"/>
      <c r="O622" s="9" t="inlineStr">
        <is>
          <t>A property development, not a trades business - little fleet of its own.</t>
        </is>
      </c>
    </row>
    <row r="623">
      <c r="A623" s="14" t="inlineStr">
        <is>
          <t>C</t>
        </is>
      </c>
      <c r="B623" s="9" t="inlineStr">
        <is>
          <t>Not phone re-checked</t>
        </is>
      </c>
      <c r="C623" s="9" t="inlineStr">
        <is>
          <t>Catering Company</t>
        </is>
      </c>
      <c r="D623" s="9" t="inlineStr">
        <is>
          <t>Catering</t>
        </is>
      </c>
      <c r="E623" s="9" t="inlineStr">
        <is>
          <t>(423) 265-4981</t>
        </is>
      </c>
      <c r="F623" s="9" t="inlineStr">
        <is>
          <t>Chattanooga</t>
        </is>
      </c>
      <c r="G623" s="9" t="inlineStr">
        <is>
          <t>1002 Hixson Pike</t>
        </is>
      </c>
      <c r="H623" s="9" t="inlineStr">
        <is>
          <t>37405</t>
        </is>
      </c>
      <c r="I623" s="9" t="n"/>
      <c r="J623" s="9" t="n"/>
      <c r="K623" s="10" t="n"/>
      <c r="L623" s="10" t="n"/>
      <c r="M623" s="10" t="n"/>
      <c r="N623" s="10" t="n"/>
      <c r="O623" s="9" t="inlineStr">
        <is>
          <t>Gap-filled 2026-09-04: no website could be tied to this business. The name is too generic - a search returns a dozen unrelated Chattanooga caterers and none of them is a 'Catering Company' at 1002 Hixson Pike. Phone and address in the row are unchanged; whoever calls should confirm the trading name.</t>
        </is>
      </c>
    </row>
    <row r="624">
      <c r="A624" s="14" t="inlineStr">
        <is>
          <t>C</t>
        </is>
      </c>
      <c r="B624" s="9" t="inlineStr">
        <is>
          <t>Not phone re-checked</t>
        </is>
      </c>
      <c r="C624" s="9" t="inlineStr">
        <is>
          <t>Charger Global Logistics</t>
        </is>
      </c>
      <c r="D624" s="9" t="inlineStr">
        <is>
          <t>Freight Brokerage</t>
        </is>
      </c>
      <c r="E624" s="9" t="inlineStr">
        <is>
          <t>(312) 724-8366</t>
        </is>
      </c>
      <c r="F624" s="9" t="inlineStr">
        <is>
          <t>Chattanooga</t>
        </is>
      </c>
      <c r="G624" s="9" t="inlineStr">
        <is>
          <t>109 E 7th St Ste 300</t>
        </is>
      </c>
      <c r="H624" s="9" t="inlineStr">
        <is>
          <t>37402</t>
        </is>
      </c>
      <c r="I624" s="9" t="n"/>
      <c r="J624" s="9" t="inlineStr">
        <is>
          <t>chargergloballogistics.com</t>
        </is>
      </c>
      <c r="K624" s="10" t="n"/>
      <c r="L624" s="10" t="n"/>
      <c r="M624" s="10" t="n"/>
      <c r="N624" s="10" t="n"/>
      <c r="O624" s="9" t="inlineStr">
        <is>
          <t>verified chargergloballogistics.com live; FMCSA MC896245 active. NOTE listed phone is a 312 area code</t>
        </is>
      </c>
    </row>
    <row r="625">
      <c r="A625" s="14" t="inlineStr">
        <is>
          <t>C</t>
        </is>
      </c>
      <c r="B625" s="9" t="inlineStr">
        <is>
          <t>Not phone re-checked</t>
        </is>
      </c>
      <c r="C625" s="9" t="inlineStr">
        <is>
          <t>Chattanooga Closet Company, an Artisan Family Brand</t>
        </is>
      </c>
      <c r="D625" s="9" t="inlineStr">
        <is>
          <t>Custom Closets &amp; Storage</t>
        </is>
      </c>
      <c r="E625" s="9" t="inlineStr">
        <is>
          <t>(423) 517-7190</t>
        </is>
      </c>
      <c r="F625" s="9" t="inlineStr">
        <is>
          <t>Chattanooga</t>
        </is>
      </c>
      <c r="G625" s="9" t="inlineStr">
        <is>
          <t>1901 Broad Street</t>
        </is>
      </c>
      <c r="H625" s="9" t="n"/>
      <c r="I625" s="9" t="n"/>
      <c r="J625" s="9" t="inlineStr">
        <is>
          <t>chattanoogacloset.com</t>
        </is>
      </c>
      <c r="K625" s="10" t="n"/>
      <c r="L625" s="10" t="n"/>
      <c r="M625" s="10" t="n"/>
      <c r="N625" s="10" t="n"/>
      <c r="O625" s="9" t="inlineStr">
        <is>
          <t>Gap-filled 2026-09-04: phone, address and website added. Closet installers run box trucks to homes and new builds daily. Their builders page is worth a look - they work with custom home builders, several of whom are on this list.</t>
        </is>
      </c>
    </row>
    <row r="626">
      <c r="A626" s="14" t="inlineStr">
        <is>
          <t>C</t>
        </is>
      </c>
      <c r="B626" s="9" t="inlineStr">
        <is>
          <t>Not phone re-checked</t>
        </is>
      </c>
      <c r="C626" s="9" t="inlineStr">
        <is>
          <t>Chattanooga Concrete Co.</t>
        </is>
      </c>
      <c r="D626" s="9" t="inlineStr">
        <is>
          <t>Concrete</t>
        </is>
      </c>
      <c r="E626" s="9" t="inlineStr">
        <is>
          <t>(423) 708-2372</t>
        </is>
      </c>
      <c r="F626" s="9" t="inlineStr">
        <is>
          <t>Chattanooga</t>
        </is>
      </c>
      <c r="G626" s="9" t="inlineStr">
        <is>
          <t>522 Lytle St</t>
        </is>
      </c>
      <c r="H626" s="9" t="n"/>
      <c r="I626" s="9" t="n"/>
      <c r="J626" s="9" t="inlineStr">
        <is>
          <t>chattanoogaconcreteco.com</t>
        </is>
      </c>
      <c r="K626" s="10" t="n"/>
      <c r="L626" s="10" t="n"/>
      <c r="M626" s="10" t="n"/>
      <c r="N626" s="10" t="n"/>
      <c r="O626" s="9" t="inlineStr">
        <is>
          <t>verified chattanoogaconcreteco.com live; no street address published</t>
        </is>
      </c>
    </row>
    <row r="627">
      <c r="A627" s="14" t="inlineStr">
        <is>
          <t>C</t>
        </is>
      </c>
      <c r="B627" s="9" t="inlineStr">
        <is>
          <t>Not phone re-checked</t>
        </is>
      </c>
      <c r="C627" s="9" t="inlineStr">
        <is>
          <t>Chattanooga Roofing Company</t>
        </is>
      </c>
      <c r="D627" s="9" t="inlineStr">
        <is>
          <t>Roofing</t>
        </is>
      </c>
      <c r="E627" s="9" t="inlineStr">
        <is>
          <t>(423) 401-2448</t>
        </is>
      </c>
      <c r="F627" s="9" t="inlineStr">
        <is>
          <t>Chattanooga</t>
        </is>
      </c>
      <c r="G627" s="9" t="inlineStr">
        <is>
          <t>529 S Germantown Rd</t>
        </is>
      </c>
      <c r="H627" s="9" t="inlineStr">
        <is>
          <t>37411</t>
        </is>
      </c>
      <c r="I627" s="9" t="n"/>
      <c r="J627" s="9" t="inlineStr">
        <is>
          <t>chattanoogaroofingco.com</t>
        </is>
      </c>
      <c r="K627" s="10" t="n"/>
      <c r="L627" s="10" t="n"/>
      <c r="M627" s="10" t="n"/>
      <c r="N627" s="10" t="n"/>
      <c r="O627" s="9" t="inlineStr">
        <is>
          <t>verified chattanoogaroofingco.com live</t>
        </is>
      </c>
    </row>
    <row r="628">
      <c r="A628" s="14" t="inlineStr">
        <is>
          <t>C</t>
        </is>
      </c>
      <c r="B628" s="9" t="inlineStr">
        <is>
          <t>Not phone re-checked</t>
        </is>
      </c>
      <c r="C628" s="9" t="inlineStr">
        <is>
          <t>Chattanooga Sewing Machines, LLC</t>
        </is>
      </c>
      <c r="D628" s="9" t="inlineStr">
        <is>
          <t>Sewing Machine Retail &amp; Service</t>
        </is>
      </c>
      <c r="E628" s="9" t="inlineStr">
        <is>
          <t>(423) 899-3664</t>
        </is>
      </c>
      <c r="F628" s="9" t="inlineStr">
        <is>
          <t>Chattanooga</t>
        </is>
      </c>
      <c r="G628" s="9" t="inlineStr">
        <is>
          <t>4130 Jersey Pike</t>
        </is>
      </c>
      <c r="H628" s="9" t="inlineStr">
        <is>
          <t>37421</t>
        </is>
      </c>
      <c r="I628" s="9" t="inlineStr">
        <is>
          <t>chattanoogasewing@gmail.com</t>
        </is>
      </c>
      <c r="J628" s="9" t="inlineStr">
        <is>
          <t>chattanoogasewingmachines.com</t>
        </is>
      </c>
      <c r="K628" s="10" t="n"/>
      <c r="L628" s="10" t="n"/>
      <c r="M628" s="10" t="n"/>
      <c r="N628" s="10" t="n"/>
      <c r="O628" s="9" t="inlineStr">
        <is>
          <t>A retail shop - maybe one delivery van. Full contact set though.</t>
        </is>
      </c>
    </row>
    <row r="629">
      <c r="A629" s="14" t="inlineStr">
        <is>
          <t>C</t>
        </is>
      </c>
      <c r="B629" s="9" t="inlineStr">
        <is>
          <t>Not phone re-checked</t>
        </is>
      </c>
      <c r="C629" s="9" t="inlineStr">
        <is>
          <t>Chattanooga Veterinary Center</t>
        </is>
      </c>
      <c r="D629" s="9" t="inlineStr">
        <is>
          <t>Veterinary</t>
        </is>
      </c>
      <c r="E629" s="9" t="inlineStr">
        <is>
          <t>(423) 648-9000</t>
        </is>
      </c>
      <c r="F629" s="9" t="inlineStr">
        <is>
          <t>Chattanooga</t>
        </is>
      </c>
      <c r="G629" s="9" t="inlineStr">
        <is>
          <t>6146 Lee Hwy</t>
        </is>
      </c>
      <c r="H629" s="9" t="inlineStr">
        <is>
          <t>37421</t>
        </is>
      </c>
      <c r="I629" s="9" t="inlineStr">
        <is>
          <t>office@chattvet.com</t>
        </is>
      </c>
      <c r="J629" s="9" t="inlineStr">
        <is>
          <t>chattvet.com</t>
        </is>
      </c>
      <c r="K629" s="10" t="n"/>
      <c r="L629" s="10" t="n"/>
      <c r="M629" s="10" t="n"/>
      <c r="N629" s="10" t="n"/>
      <c r="O629" s="9" t="inlineStr">
        <is>
          <t>verified chattvet.com live</t>
        </is>
      </c>
    </row>
    <row r="630">
      <c r="A630" s="14" t="inlineStr">
        <is>
          <t>C</t>
        </is>
      </c>
      <c r="B630" s="9" t="inlineStr">
        <is>
          <t>Not phone re-checked</t>
        </is>
      </c>
      <c r="C630" s="9" t="inlineStr">
        <is>
          <t>City Scope Magazine</t>
        </is>
      </c>
      <c r="D630" s="9" t="inlineStr">
        <is>
          <t>Magazine Publishing</t>
        </is>
      </c>
      <c r="E630" s="9" t="inlineStr">
        <is>
          <t>(423) 893-0186</t>
        </is>
      </c>
      <c r="F630" s="9" t="inlineStr">
        <is>
          <t>Chattanooga</t>
        </is>
      </c>
      <c r="G630" s="9" t="inlineStr">
        <is>
          <t>502 Hamilton Ave.</t>
        </is>
      </c>
      <c r="H630" s="9" t="inlineStr">
        <is>
          <t>37405</t>
        </is>
      </c>
      <c r="I630" s="9" t="n"/>
      <c r="J630" s="9" t="inlineStr">
        <is>
          <t>cityscopemag.com</t>
        </is>
      </c>
      <c r="K630" s="10" t="n"/>
      <c r="L630" s="10" t="n"/>
      <c r="M630" s="10" t="n"/>
      <c r="N630" s="10" t="n"/>
      <c r="O630" s="9" t="inlineStr">
        <is>
          <t>A publisher - little to no fleet.</t>
        </is>
      </c>
    </row>
    <row r="631">
      <c r="A631" s="14" t="inlineStr">
        <is>
          <t>C</t>
        </is>
      </c>
      <c r="B631" s="9" t="inlineStr">
        <is>
          <t>Not phone re-checked</t>
        </is>
      </c>
      <c r="C631" s="9" t="inlineStr">
        <is>
          <t>DoorBaffles.com</t>
        </is>
      </c>
      <c r="D631" s="9" t="inlineStr">
        <is>
          <t>Home Elevator Safety Equipment (e-commerce)</t>
        </is>
      </c>
      <c r="E631" s="9" t="inlineStr">
        <is>
          <t>(800) 545-6120</t>
        </is>
      </c>
      <c r="F631" s="9" t="inlineStr">
        <is>
          <t>Chattanooga</t>
        </is>
      </c>
      <c r="G631" s="9" t="inlineStr">
        <is>
          <t>1709 North Orchard Knob Avenue</t>
        </is>
      </c>
      <c r="H631" s="9" t="n"/>
      <c r="I631" s="9" t="n"/>
      <c r="J631" s="9" t="inlineStr">
        <is>
          <t>doorbaffles.com</t>
        </is>
      </c>
      <c r="K631" s="10" t="n"/>
      <c r="L631" s="10" t="n"/>
      <c r="M631" s="10" t="n"/>
      <c r="N631" s="10" t="n"/>
      <c r="O631" s="9" t="inlineStr">
        <is>
          <t>Gap-filled 2026-09-04: this is REMI Home Elevators' product brand, not a separate company - same Orchard Knob address, already on this list as its own row. Treat the two as one call, and the number recorded here is REMI's toll-free line. Kept at C because the fleet belongs to the REMI row.</t>
        </is>
      </c>
    </row>
    <row r="632">
      <c r="A632" s="14" t="inlineStr">
        <is>
          <t>C</t>
        </is>
      </c>
      <c r="B632" s="9" t="inlineStr">
        <is>
          <t>Not phone re-checked</t>
        </is>
      </c>
      <c r="C632" s="9" t="inlineStr">
        <is>
          <t>Events with Taste</t>
        </is>
      </c>
      <c r="D632" s="9" t="inlineStr">
        <is>
          <t>Catering</t>
        </is>
      </c>
      <c r="E632" s="9" t="inlineStr">
        <is>
          <t>(423) 508-8023</t>
        </is>
      </c>
      <c r="F632" s="9" t="inlineStr">
        <is>
          <t>Chattanooga</t>
        </is>
      </c>
      <c r="G632" s="9" t="inlineStr">
        <is>
          <t>507A W 26th St</t>
        </is>
      </c>
      <c r="H632" s="9" t="inlineStr">
        <is>
          <t>37408</t>
        </is>
      </c>
      <c r="I632" s="9" t="inlineStr">
        <is>
          <t>mwells@ewtcaters.com</t>
        </is>
      </c>
      <c r="J632" s="9" t="inlineStr">
        <is>
          <t>ewtcaters.com</t>
        </is>
      </c>
      <c r="K632" s="10" t="n"/>
      <c r="L632" s="10" t="n"/>
      <c r="M632" s="10" t="n"/>
      <c r="N632" s="10" t="n"/>
      <c r="O632" s="9" t="inlineStr">
        <is>
          <t>verified ewtcaters.com live; 15+ yrs</t>
        </is>
      </c>
    </row>
    <row r="633">
      <c r="A633" s="14" t="inlineStr">
        <is>
          <t>C</t>
        </is>
      </c>
      <c r="B633" s="9" t="inlineStr">
        <is>
          <t>Not phone re-checked</t>
        </is>
      </c>
      <c r="C633" s="9" t="inlineStr">
        <is>
          <t>Firestone Complete Auto Care</t>
        </is>
      </c>
      <c r="D633" s="9" t="inlineStr">
        <is>
          <t>Auto Repair / Tire Shop</t>
        </is>
      </c>
      <c r="E633" s="9" t="inlineStr">
        <is>
          <t>(423) 933-2889</t>
        </is>
      </c>
      <c r="F633" s="9" t="inlineStr">
        <is>
          <t>Chattanooga</t>
        </is>
      </c>
      <c r="G633" s="9" t="inlineStr">
        <is>
          <t>1271 Market St</t>
        </is>
      </c>
      <c r="H633" s="9" t="inlineStr">
        <is>
          <t>37402</t>
        </is>
      </c>
      <c r="I633" s="9" t="n"/>
      <c r="J633" s="9" t="inlineStr">
        <is>
          <t>firestonecompleteautocare.com</t>
        </is>
      </c>
      <c r="K633" s="10" t="n"/>
      <c r="L633" s="10" t="n"/>
      <c r="M633" s="10" t="n"/>
      <c r="N633" s="10" t="n"/>
      <c r="O633" s="9" t="inlineStr">
        <is>
          <t>verified firestonecompleteautocare.com store page live</t>
        </is>
      </c>
    </row>
    <row r="634">
      <c r="A634" s="14" t="inlineStr">
        <is>
          <t>C</t>
        </is>
      </c>
      <c r="B634" s="9" t="inlineStr">
        <is>
          <t>Not phone re-checked</t>
        </is>
      </c>
      <c r="C634" s="9" t="inlineStr">
        <is>
          <t>Fulex 3PL (Chattanooga Fulfillment Center)</t>
        </is>
      </c>
      <c r="D634" s="9" t="inlineStr">
        <is>
          <t>Food/Supplement Fulfillment &amp; Distribution</t>
        </is>
      </c>
      <c r="E634" s="9" t="inlineStr">
        <is>
          <t>(423) 690-8100</t>
        </is>
      </c>
      <c r="F634" s="9" t="inlineStr">
        <is>
          <t>Chattanooga</t>
        </is>
      </c>
      <c r="G634" s="9" t="inlineStr">
        <is>
          <t>2700 Riverside Dr</t>
        </is>
      </c>
      <c r="H634" s="9" t="inlineStr">
        <is>
          <t>37406</t>
        </is>
      </c>
      <c r="I634" s="9" t="inlineStr">
        <is>
          <t>carmen@fulex.com</t>
        </is>
      </c>
      <c r="J634" s="9" t="inlineStr">
        <is>
          <t>fulex.com</t>
        </is>
      </c>
      <c r="K634" s="10" t="n"/>
      <c r="L634" s="10" t="n"/>
      <c r="M634" s="10" t="n"/>
      <c r="N634" s="10" t="n"/>
      <c r="O634" s="9" t="inlineStr">
        <is>
          <t>verified fulex.com live</t>
        </is>
      </c>
    </row>
    <row r="635">
      <c r="A635" s="14" t="inlineStr">
        <is>
          <t>C</t>
        </is>
      </c>
      <c r="B635" s="9" t="inlineStr">
        <is>
          <t>Not phone re-checked</t>
        </is>
      </c>
      <c r="C635" s="9" t="inlineStr">
        <is>
          <t>G &amp; P Masonry Inc.</t>
        </is>
      </c>
      <c r="D635" s="9" t="inlineStr">
        <is>
          <t>Masonry</t>
        </is>
      </c>
      <c r="E635" s="9" t="inlineStr">
        <is>
          <t>(423) 624-9953</t>
        </is>
      </c>
      <c r="F635" s="9" t="inlineStr">
        <is>
          <t>Chattanooga</t>
        </is>
      </c>
      <c r="G635" s="9" t="inlineStr">
        <is>
          <t>2901 S Orchard Knob Ave</t>
        </is>
      </c>
      <c r="H635" s="9" t="n"/>
      <c r="I635" s="9" t="n"/>
      <c r="J635" s="9" t="inlineStr">
        <is>
          <t>gp-masonry.com</t>
        </is>
      </c>
      <c r="K635" s="10" t="n"/>
      <c r="L635" s="10" t="n"/>
      <c r="M635" s="10" t="n"/>
      <c r="N635" s="10" t="n"/>
      <c r="O635" s="9" t="inlineStr">
        <is>
          <t>found website; phone confirmed via AGC + Buzzfile</t>
        </is>
      </c>
    </row>
    <row r="636">
      <c r="A636" s="14" t="inlineStr">
        <is>
          <t>C</t>
        </is>
      </c>
      <c r="B636" s="9" t="inlineStr">
        <is>
          <t>Not phone re-checked</t>
        </is>
      </c>
      <c r="C636" s="9" t="inlineStr">
        <is>
          <t>Garage Door Doctor</t>
        </is>
      </c>
      <c r="D636" s="9" t="inlineStr">
        <is>
          <t>Garage Door Service</t>
        </is>
      </c>
      <c r="E636" s="9" t="inlineStr">
        <is>
          <t>(423) 842-3926</t>
        </is>
      </c>
      <c r="F636" s="9" t="inlineStr">
        <is>
          <t>Hixson</t>
        </is>
      </c>
      <c r="G636" s="9" t="n"/>
      <c r="H636" s="9" t="inlineStr">
        <is>
          <t>37343</t>
        </is>
      </c>
      <c r="I636" s="9" t="n"/>
      <c r="J636" s="9" t="n"/>
      <c r="K636" s="10" t="n"/>
      <c r="L636" s="10" t="n"/>
      <c r="M636" s="10" t="n"/>
      <c r="N636" s="10" t="n"/>
      <c r="O636" s="9" t="inlineStr">
        <is>
          <t>Gap-filled 2026-09-04: the row was empty; a phone is now in. No official website - they trade on word of mouth. Ask for Bill; the second number (423) 290-2174 appears to be his mobile. Garage door fitters run a service van with a ladder rack.</t>
        </is>
      </c>
    </row>
    <row r="637">
      <c r="A637" s="14" t="inlineStr">
        <is>
          <t>C</t>
        </is>
      </c>
      <c r="B637" s="9" t="inlineStr">
        <is>
          <t>Not phone re-checked</t>
        </is>
      </c>
      <c r="C637" s="9" t="inlineStr">
        <is>
          <t>Giorgio Mens Warehouse LLC</t>
        </is>
      </c>
      <c r="D637" s="9" t="inlineStr">
        <is>
          <t>Menswear Retail</t>
        </is>
      </c>
      <c r="E637" s="9" t="inlineStr">
        <is>
          <t>(423) 756-5080</t>
        </is>
      </c>
      <c r="F637" s="9" t="inlineStr">
        <is>
          <t>Chattanooga</t>
        </is>
      </c>
      <c r="G637" s="9" t="n"/>
      <c r="H637" s="9" t="inlineStr">
        <is>
          <t>37402</t>
        </is>
      </c>
      <c r="I637" s="9" t="inlineStr">
        <is>
          <t>info@giorgiomwh.com</t>
        </is>
      </c>
      <c r="J637" s="9" t="inlineStr">
        <is>
          <t>giorgiomenswarehouse.com</t>
        </is>
      </c>
      <c r="K637" s="10" t="n"/>
      <c r="L637" s="10" t="n"/>
      <c r="M637" s="10" t="n"/>
      <c r="N637" s="10" t="n"/>
      <c r="O637" s="9" t="inlineStr">
        <is>
          <t>The Vibe record files this as Construction - it is a menswear and formalwear shop. Small retailer, so a light fleet lead at best. Their own site does not display the street address, so the dataset's 704 Market Street is left off rather than copied in unverified.</t>
        </is>
      </c>
    </row>
    <row r="638">
      <c r="A638" s="14" t="inlineStr">
        <is>
          <t>C</t>
        </is>
      </c>
      <c r="B638" s="9" t="inlineStr">
        <is>
          <t>Not phone re-checked</t>
        </is>
      </c>
      <c r="C638" s="9" t="inlineStr">
        <is>
          <t>GLASS HOUSE COLLECTIVE</t>
        </is>
      </c>
      <c r="D638" s="9" t="inlineStr">
        <is>
          <t>Community Development Non-Profit</t>
        </is>
      </c>
      <c r="E638" s="9" t="inlineStr">
        <is>
          <t>(423) 402-0565</t>
        </is>
      </c>
      <c r="F638" s="9" t="inlineStr">
        <is>
          <t>Chattanooga</t>
        </is>
      </c>
      <c r="G638" s="9" t="inlineStr">
        <is>
          <t>2523 Glass Street</t>
        </is>
      </c>
      <c r="H638" s="9" t="inlineStr">
        <is>
          <t>37406</t>
        </is>
      </c>
      <c r="I638" s="9" t="inlineStr">
        <is>
          <t>info@glasshousecollective.org</t>
        </is>
      </c>
      <c r="J638" s="9" t="inlineStr">
        <is>
          <t>glasshousecollective.org</t>
        </is>
      </c>
      <c r="K638" s="10" t="n"/>
      <c r="L638" s="10" t="n"/>
      <c r="M638" s="10" t="n"/>
      <c r="N638" s="10" t="n"/>
      <c r="O638" s="9" t="inlineStr">
        <is>
          <t>Gap-filled 2026-09-04: phone, address, email and website all added. Despite the name this is a neighbourhood revitalisation nonprofit on Glass Street, not a glass business - no competitive overlap and no real fleet, so it stays at C.</t>
        </is>
      </c>
    </row>
    <row r="639">
      <c r="A639" s="14" t="inlineStr">
        <is>
          <t>C</t>
        </is>
      </c>
      <c r="B639" s="9" t="inlineStr">
        <is>
          <t>Not phone re-checked</t>
        </is>
      </c>
      <c r="C639" s="9" t="inlineStr">
        <is>
          <t>GLS Courier Service</t>
        </is>
      </c>
      <c r="D639" s="9" t="inlineStr">
        <is>
          <t>Courier / Delivery</t>
        </is>
      </c>
      <c r="E639" s="9" t="inlineStr">
        <is>
          <t>(423) 667-7970</t>
        </is>
      </c>
      <c r="F639" s="9" t="inlineStr">
        <is>
          <t>Chattanooga</t>
        </is>
      </c>
      <c r="G639" s="9" t="inlineStr">
        <is>
          <t>1636 Fernwood Cir</t>
        </is>
      </c>
      <c r="H639" s="9" t="inlineStr">
        <is>
          <t>37421</t>
        </is>
      </c>
      <c r="I639" s="9" t="n"/>
      <c r="J639" s="9" t="n"/>
      <c r="K639" s="10" t="n"/>
      <c r="L639" s="10" t="n"/>
      <c r="M639" s="10" t="n"/>
      <c r="N639" s="10" t="n"/>
      <c r="O639" s="9" t="inlineStr">
        <is>
          <t>Gap-filled 2026-09-04: no official website - the 'site' listings show is a localsearch directory page, not one. Phone and address already in the row confirmed unchanged. Do not confuse with GLS-US, the national parcel carrier, which is a different company entirely.</t>
        </is>
      </c>
    </row>
    <row r="640">
      <c r="A640" s="14" t="inlineStr">
        <is>
          <t>C</t>
        </is>
      </c>
      <c r="B640" s="9" t="inlineStr">
        <is>
          <t>Not phone re-checked</t>
        </is>
      </c>
      <c r="C640" s="9" t="inlineStr">
        <is>
          <t>green|spaces</t>
        </is>
      </c>
      <c r="D640" s="9" t="inlineStr">
        <is>
          <t>Sustainability Non-Profit</t>
        </is>
      </c>
      <c r="E640" s="9" t="inlineStr">
        <is>
          <t>(423) 648-0963</t>
        </is>
      </c>
      <c r="F640" s="9" t="inlineStr">
        <is>
          <t>Chattanooga</t>
        </is>
      </c>
      <c r="G640" s="9" t="n"/>
      <c r="H640" s="9" t="n"/>
      <c r="I640" s="9" t="n"/>
      <c r="J640" s="9" t="inlineStr">
        <is>
          <t>greenspaceschattanooga.org</t>
        </is>
      </c>
      <c r="K640" s="10" t="n"/>
      <c r="L640" s="10" t="n"/>
      <c r="M640" s="10" t="n"/>
      <c r="N640" s="10" t="n"/>
      <c r="O640" s="9" t="inlineStr">
        <is>
          <t>A non-profit resource centre - minimal fleet.</t>
        </is>
      </c>
    </row>
    <row r="641">
      <c r="A641" s="14" t="inlineStr">
        <is>
          <t>C</t>
        </is>
      </c>
      <c r="B641" s="9" t="inlineStr">
        <is>
          <t>Not phone re-checked</t>
        </is>
      </c>
      <c r="C641" s="9" t="inlineStr">
        <is>
          <t>Habitat for Humanity of Greater Chattanooga Area (ReStore)</t>
        </is>
      </c>
      <c r="D641" s="9" t="inlineStr">
        <is>
          <t>Large Nonprofit (Home Building)</t>
        </is>
      </c>
      <c r="E641" s="9" t="inlineStr">
        <is>
          <t>(423) 634-1004</t>
        </is>
      </c>
      <c r="F641" s="9" t="inlineStr">
        <is>
          <t>Chattanooga</t>
        </is>
      </c>
      <c r="G641" s="9" t="inlineStr">
        <is>
          <t>1201 E Main St</t>
        </is>
      </c>
      <c r="H641" s="9" t="inlineStr">
        <is>
          <t>37408</t>
        </is>
      </c>
      <c r="I641" s="9" t="n"/>
      <c r="J641" s="9" t="inlineStr">
        <is>
          <t>habichatt.org/restore</t>
        </is>
      </c>
      <c r="K641" s="10" t="n"/>
      <c r="L641" s="10" t="n"/>
      <c r="M641" s="10" t="n"/>
      <c r="N641" s="10" t="n"/>
      <c r="O641" s="9" t="inlineStr">
        <is>
          <t>verified habichatt.org live</t>
        </is>
      </c>
    </row>
    <row r="642">
      <c r="A642" s="14" t="inlineStr">
        <is>
          <t>C</t>
        </is>
      </c>
      <c r="B642" s="9" t="inlineStr">
        <is>
          <t>Not phone re-checked</t>
        </is>
      </c>
      <c r="C642" s="9" t="inlineStr">
        <is>
          <t>Havenly Showers</t>
        </is>
      </c>
      <c r="D642" s="9" t="inlineStr">
        <is>
          <t>Bathroom / Shower Remodeling</t>
        </is>
      </c>
      <c r="E642" s="9" t="inlineStr">
        <is>
          <t>(423) 771-7191</t>
        </is>
      </c>
      <c r="F642" s="9" t="inlineStr">
        <is>
          <t>Chattanooga</t>
        </is>
      </c>
      <c r="G642" s="9" t="inlineStr">
        <is>
          <t>121 Honest Street</t>
        </is>
      </c>
      <c r="H642" s="9" t="n"/>
      <c r="I642" s="9" t="inlineStr">
        <is>
          <t>sales@havenlyshowers.com</t>
        </is>
      </c>
      <c r="J642" s="9" t="inlineStr">
        <is>
          <t>havenlyshowers.com</t>
        </is>
      </c>
      <c r="K642" s="10" t="n"/>
      <c r="L642" s="10" t="n"/>
      <c r="M642" s="10" t="n"/>
      <c r="N642" s="10" t="n"/>
      <c r="O642" s="9" t="inlineStr">
        <is>
          <t>Gap-filled 2026-09-04: phone, address, email and website all added. Shower and bath installers run fitting vans to homes.</t>
        </is>
      </c>
    </row>
    <row r="643">
      <c r="A643" s="14" t="inlineStr">
        <is>
          <t>C</t>
        </is>
      </c>
      <c r="B643" s="9" t="inlineStr">
        <is>
          <t>Not phone re-checked</t>
        </is>
      </c>
      <c r="C643" s="9" t="inlineStr">
        <is>
          <t>Hercules Equipment Pads</t>
        </is>
      </c>
      <c r="D643" s="9" t="inlineStr">
        <is>
          <t>HVAC / Equipment Pad Manufacturing</t>
        </is>
      </c>
      <c r="E643" s="9" t="inlineStr">
        <is>
          <t>(423) 760-4498</t>
        </is>
      </c>
      <c r="F643" s="9" t="inlineStr">
        <is>
          <t>Chattanooga</t>
        </is>
      </c>
      <c r="G643" s="9" t="n"/>
      <c r="H643" s="9" t="n"/>
      <c r="I643" s="9" t="n"/>
      <c r="J643" s="9" t="inlineStr">
        <is>
          <t>herculesequipmentpads.com</t>
        </is>
      </c>
      <c r="K643" s="10" t="n"/>
      <c r="L643" s="10" t="n"/>
      <c r="M643" s="10" t="n"/>
      <c r="N643" s="10" t="n"/>
      <c r="O643" s="9" t="inlineStr">
        <is>
          <t>A product manufacturer selling online - little or no local fleet.</t>
        </is>
      </c>
    </row>
    <row r="644">
      <c r="A644" s="14" t="inlineStr">
        <is>
          <t>C</t>
        </is>
      </c>
      <c r="B644" s="9" t="inlineStr">
        <is>
          <t>Not phone re-checked</t>
        </is>
      </c>
      <c r="C644" s="9" t="inlineStr">
        <is>
          <t>Highland Tire and Auto Service</t>
        </is>
      </c>
      <c r="D644" s="9" t="inlineStr">
        <is>
          <t>Tire &amp; Auto Service</t>
        </is>
      </c>
      <c r="E644" s="9" t="inlineStr">
        <is>
          <t>(423) 877-8524</t>
        </is>
      </c>
      <c r="F644" s="9" t="inlineStr">
        <is>
          <t>Hixson</t>
        </is>
      </c>
      <c r="G644" s="9" t="inlineStr">
        <is>
          <t>3886 Hixson Pike</t>
        </is>
      </c>
      <c r="H644" s="9" t="inlineStr">
        <is>
          <t>37343</t>
        </is>
      </c>
      <c r="I644" s="9" t="n"/>
      <c r="J644" s="9" t="inlineStr">
        <is>
          <t>highlandtire.net</t>
        </is>
      </c>
      <c r="K644" s="10" t="n"/>
      <c r="L644" s="10" t="n"/>
      <c r="M644" s="10" t="n"/>
      <c r="N644" s="10" t="n"/>
      <c r="O644" s="9" t="inlineStr">
        <is>
          <t>Gap-filled 2026-09-04: the row had neither website nor phone and now has both plus the address. A tyre and auto shop is a trade neighbour - they see cracked windscreens on the lift every day and have no glass service of their own.</t>
        </is>
      </c>
    </row>
    <row r="645">
      <c r="A645" s="14" t="inlineStr">
        <is>
          <t>C</t>
        </is>
      </c>
      <c r="B645" s="9" t="inlineStr">
        <is>
          <t>Not phone re-checked</t>
        </is>
      </c>
      <c r="C645" s="9" t="inlineStr">
        <is>
          <t>J&amp;J Premier Painting, Inc.</t>
        </is>
      </c>
      <c r="D645" s="9" t="inlineStr">
        <is>
          <t>Painting Contractor</t>
        </is>
      </c>
      <c r="E645" s="9" t="inlineStr">
        <is>
          <t>(423) 362-9550</t>
        </is>
      </c>
      <c r="F645" s="9" t="inlineStr">
        <is>
          <t>Chattanooga</t>
        </is>
      </c>
      <c r="G645" s="9" t="inlineStr">
        <is>
          <t>2529 Cedarton Ct</t>
        </is>
      </c>
      <c r="H645" s="9" t="inlineStr">
        <is>
          <t>37421</t>
        </is>
      </c>
      <c r="I645" s="9" t="n"/>
      <c r="J645" s="9" t="inlineStr">
        <is>
          <t>paintingjj.com</t>
        </is>
      </c>
      <c r="K645" s="10" t="n"/>
      <c r="L645" s="10" t="n"/>
      <c r="M645" s="10" t="n"/>
      <c r="N645" s="10" t="n"/>
      <c r="O645" s="9" t="inlineStr">
        <is>
          <t>Gap-filled 2026-09-04: website added, phone confirmed unchanged. Note several unrelated J&amp;J and JMJ painting firms trade in Chattanooga - paintingjj.com is the right one for this row.</t>
        </is>
      </c>
    </row>
    <row r="646">
      <c r="A646" s="14" t="inlineStr">
        <is>
          <t>C</t>
        </is>
      </c>
      <c r="B646" s="9" t="inlineStr">
        <is>
          <t>Not phone re-checked</t>
        </is>
      </c>
      <c r="C646" s="9" t="inlineStr">
        <is>
          <t>JMH Woodworking LLC</t>
        </is>
      </c>
      <c r="D646" s="9" t="inlineStr">
        <is>
          <t>Custom Woodworking &amp; Finish Carpentry</t>
        </is>
      </c>
      <c r="E646" s="9" t="inlineStr">
        <is>
          <t>(423) 702-1116</t>
        </is>
      </c>
      <c r="F646" s="9" t="inlineStr">
        <is>
          <t>Chattanooga</t>
        </is>
      </c>
      <c r="G646" s="9" t="n"/>
      <c r="H646" s="9" t="n"/>
      <c r="I646" s="9" t="n"/>
      <c r="J646" s="9" t="inlineStr">
        <is>
          <t>jmhwoodworking.com</t>
        </is>
      </c>
      <c r="K646" s="10" t="n"/>
      <c r="L646" s="10" t="n"/>
      <c r="M646" s="10" t="n"/>
      <c r="N646" s="10" t="n"/>
      <c r="O646" s="9" t="inlineStr">
        <is>
          <t>Their site still carries the web template's placeholder address - '123 Fake Street, Stone Ridge, NY'. The phone is real; the address is not. Small shop, probably one van.</t>
        </is>
      </c>
    </row>
    <row r="647">
      <c r="A647" s="14" t="inlineStr">
        <is>
          <t>C</t>
        </is>
      </c>
      <c r="B647" s="9" t="inlineStr">
        <is>
          <t>Not phone re-checked</t>
        </is>
      </c>
      <c r="C647" s="9" t="inlineStr">
        <is>
          <t>KCH Transportation</t>
        </is>
      </c>
      <c r="D647" s="9" t="inlineStr">
        <is>
          <t>Logistics / 3PL Brokerage</t>
        </is>
      </c>
      <c r="E647" s="9" t="inlineStr">
        <is>
          <t>(423) 896-2211</t>
        </is>
      </c>
      <c r="F647" s="9" t="inlineStr">
        <is>
          <t>Chattanooga</t>
        </is>
      </c>
      <c r="G647" s="9" t="inlineStr">
        <is>
          <t>1208 King St</t>
        </is>
      </c>
      <c r="H647" s="9" t="inlineStr">
        <is>
          <t>37403</t>
        </is>
      </c>
      <c r="I647" s="9" t="inlineStr">
        <is>
          <t>cha@kchtrans.com</t>
        </is>
      </c>
      <c r="J647" s="9" t="inlineStr">
        <is>
          <t>kchtrans.com</t>
        </is>
      </c>
      <c r="K647" s="10" t="n"/>
      <c r="L647" s="10" t="n"/>
      <c r="M647" s="10" t="n"/>
      <c r="N647" s="10" t="n"/>
      <c r="O647" s="9" t="inlineStr">
        <is>
          <t>verified kchtrans.com live; branch email better than generic info@</t>
        </is>
      </c>
    </row>
    <row r="648">
      <c r="A648" s="14" t="inlineStr">
        <is>
          <t>C</t>
        </is>
      </c>
      <c r="B648" s="9" t="inlineStr">
        <is>
          <t>Not phone re-checked</t>
        </is>
      </c>
      <c r="C648" s="9" t="inlineStr">
        <is>
          <t>Langley Roofing</t>
        </is>
      </c>
      <c r="D648" s="9" t="inlineStr">
        <is>
          <t>Roofing</t>
        </is>
      </c>
      <c r="E648" s="9" t="inlineStr">
        <is>
          <t>(423) 504-5056</t>
        </is>
      </c>
      <c r="F648" s="9" t="inlineStr">
        <is>
          <t>Chattanooga</t>
        </is>
      </c>
      <c r="G648" s="9" t="inlineStr">
        <is>
          <t>2211 Hickory Valley Rd</t>
        </is>
      </c>
      <c r="H648" s="9" t="inlineStr">
        <is>
          <t>37421</t>
        </is>
      </c>
      <c r="I648" s="9" t="n"/>
      <c r="J648" s="9" t="inlineStr">
        <is>
          <t>langleyroofs.com</t>
        </is>
      </c>
      <c r="K648" s="10" t="n"/>
      <c r="L648" s="10" t="n"/>
      <c r="M648" s="10" t="n"/>
      <c r="N648" s="10" t="n"/>
      <c r="O648" s="9" t="inlineStr">
        <is>
          <t>verified langleyroofs.com live</t>
        </is>
      </c>
    </row>
    <row r="649">
      <c r="A649" s="14" t="inlineStr">
        <is>
          <t>C</t>
        </is>
      </c>
      <c r="B649" s="9" t="inlineStr">
        <is>
          <t>Not phone re-checked</t>
        </is>
      </c>
      <c r="C649" s="9" t="inlineStr">
        <is>
          <t>Legacy Executive Transportation</t>
        </is>
      </c>
      <c r="D649" s="9" t="inlineStr">
        <is>
          <t>Limousine / Executive Transport</t>
        </is>
      </c>
      <c r="E649" s="9" t="inlineStr">
        <is>
          <t>(423) 400-4750</t>
        </is>
      </c>
      <c r="F649" s="9" t="inlineStr">
        <is>
          <t>Chattanooga</t>
        </is>
      </c>
      <c r="G649" s="9" t="inlineStr">
        <is>
          <t>1710 Strawberry Ln</t>
        </is>
      </c>
      <c r="H649" s="9" t="inlineStr">
        <is>
          <t>37343</t>
        </is>
      </c>
      <c r="I649" s="9" t="inlineStr">
        <is>
          <t>Legacyexecutivetransport@gmail.com</t>
        </is>
      </c>
      <c r="J649" s="9" t="inlineStr">
        <is>
          <t>letchatt.com</t>
        </is>
      </c>
      <c r="K649" s="10" t="n"/>
      <c r="L649" s="10" t="n"/>
      <c r="M649" s="10" t="n"/>
      <c r="N649" s="10" t="n"/>
      <c r="O649" s="9" t="inlineStr">
        <is>
          <t>verified letchatt.com live; address is in Hixson 37343</t>
        </is>
      </c>
    </row>
    <row r="650">
      <c r="A650" s="14" t="inlineStr">
        <is>
          <t>C</t>
        </is>
      </c>
      <c r="B650" s="9" t="inlineStr">
        <is>
          <t>Not phone re-checked</t>
        </is>
      </c>
      <c r="C650" s="9" t="inlineStr">
        <is>
          <t>Life Care Center of Hixson</t>
        </is>
      </c>
      <c r="D650" s="9" t="inlineStr">
        <is>
          <t>Skilled Nursing / Rehabilitation</t>
        </is>
      </c>
      <c r="E650" s="9" t="inlineStr">
        <is>
          <t>(423) 842-0049</t>
        </is>
      </c>
      <c r="F650" s="9" t="inlineStr">
        <is>
          <t>Hixson</t>
        </is>
      </c>
      <c r="G650" s="9" t="inlineStr">
        <is>
          <t>5798 Hixson Homeplace</t>
        </is>
      </c>
      <c r="H650" s="9" t="inlineStr">
        <is>
          <t>37343</t>
        </is>
      </c>
      <c r="I650" s="9" t="n"/>
      <c r="J650" s="9" t="inlineStr">
        <is>
          <t>lifecarecenterofhixson.com</t>
        </is>
      </c>
      <c r="K650" s="10" t="n"/>
      <c r="L650" s="10" t="n"/>
      <c r="M650" s="10" t="n"/>
      <c r="N650" s="10" t="n"/>
      <c r="O650" s="9" t="inlineStr">
        <is>
          <t>NEW LEAD. Facility page: address and phone confirmed. Runs resident transport vehicles. Sister facility to Life Care Center of Collegedale, already on the list.</t>
        </is>
      </c>
    </row>
    <row r="651">
      <c r="A651" s="14" t="inlineStr">
        <is>
          <t>C</t>
        </is>
      </c>
      <c r="B651" s="9" t="inlineStr">
        <is>
          <t>Not phone re-checked</t>
        </is>
      </c>
      <c r="C651" s="9" t="inlineStr">
        <is>
          <t>Local 74</t>
        </is>
      </c>
      <c r="D651" s="9" t="inlineStr">
        <is>
          <t>Carpenters Union Local / Training Centre</t>
        </is>
      </c>
      <c r="E651" s="9" t="inlineStr">
        <is>
          <t>(423) 842-5320</t>
        </is>
      </c>
      <c r="F651" s="9" t="inlineStr">
        <is>
          <t>Hixson</t>
        </is>
      </c>
      <c r="G651" s="9" t="inlineStr">
        <is>
          <t>6260 Dayton Boulevard</t>
        </is>
      </c>
      <c r="H651" s="9" t="inlineStr">
        <is>
          <t>37343</t>
        </is>
      </c>
      <c r="I651" s="9" t="n"/>
      <c r="J651" s="9" t="inlineStr">
        <is>
          <t>ubclocal74.com</t>
        </is>
      </c>
      <c r="K651" s="10" t="n"/>
      <c r="L651" s="10" t="n"/>
      <c r="M651" s="10" t="n"/>
      <c r="N651" s="10" t="n"/>
      <c r="O651" s="9" t="inlineStr">
        <is>
          <t>Gap-filled 2026-09-04: phone, address and website added. Worth understanding what this is: a carpenters' union local, not a contractor, so it has no fleet of its own - but its members work for many of the contractors on this list, which makes it a noticeboard rather than a customer. Kept at C.</t>
        </is>
      </c>
    </row>
    <row r="652">
      <c r="A652" s="14" t="inlineStr">
        <is>
          <t>C</t>
        </is>
      </c>
      <c r="B652" s="9" t="inlineStr">
        <is>
          <t>Not phone re-checked</t>
        </is>
      </c>
      <c r="C652" s="9" t="inlineStr">
        <is>
          <t>Lookout Limousine (Executive Services)</t>
        </is>
      </c>
      <c r="D652" s="9" t="inlineStr">
        <is>
          <t>Limousine / Shuttle</t>
        </is>
      </c>
      <c r="E652" s="9" t="inlineStr">
        <is>
          <t>(423) 682-2342</t>
        </is>
      </c>
      <c r="F652" s="9" t="inlineStr">
        <is>
          <t>Chattanooga</t>
        </is>
      </c>
      <c r="G652" s="9" t="inlineStr">
        <is>
          <t>1001 Airport Rd</t>
        </is>
      </c>
      <c r="H652" s="9" t="inlineStr">
        <is>
          <t>37421</t>
        </is>
      </c>
      <c r="I652" s="9" t="inlineStr">
        <is>
          <t>lookoutlimo@usa.com</t>
        </is>
      </c>
      <c r="J652" s="9" t="inlineStr">
        <is>
          <t>lookoutlimo.com</t>
        </is>
      </c>
      <c r="K652" s="10" t="n"/>
      <c r="L652" s="10" t="n"/>
      <c r="M652" s="10" t="n"/>
      <c r="N652" s="10" t="n"/>
      <c r="O652" s="9" t="inlineStr">
        <is>
          <t>verified lookoutlimo.com live</t>
        </is>
      </c>
    </row>
    <row r="653">
      <c r="A653" s="14" t="inlineStr">
        <is>
          <t>C</t>
        </is>
      </c>
      <c r="B653" s="9" t="inlineStr">
        <is>
          <t>Not phone re-checked</t>
        </is>
      </c>
      <c r="C653" s="9" t="inlineStr">
        <is>
          <t>Martin Brothers Painting</t>
        </is>
      </c>
      <c r="D653" s="9" t="inlineStr">
        <is>
          <t>Painting Contractor</t>
        </is>
      </c>
      <c r="E653" s="9" t="inlineStr">
        <is>
          <t>(423) 591-5388</t>
        </is>
      </c>
      <c r="F653" s="9" t="inlineStr">
        <is>
          <t>Hixson</t>
        </is>
      </c>
      <c r="G653" s="9" t="inlineStr">
        <is>
          <t>513 Marlow Drive</t>
        </is>
      </c>
      <c r="H653" s="9" t="inlineStr">
        <is>
          <t>37343</t>
        </is>
      </c>
      <c r="I653" s="9" t="n"/>
      <c r="J653" s="9" t="inlineStr">
        <is>
          <t>martinbrotherspainting.com</t>
        </is>
      </c>
      <c r="K653" s="10" t="n"/>
      <c r="L653" s="10" t="n"/>
      <c r="M653" s="10" t="n"/>
      <c r="N653" s="10" t="n"/>
      <c r="O653" s="9" t="inlineStr">
        <is>
          <t>Gap-filled 2026-09-04: phone, address and website added. A cell number is published too - (423) 314-1448 - which is usually the faster route to a two-man painting crew.</t>
        </is>
      </c>
    </row>
    <row r="654">
      <c r="A654" s="14" t="inlineStr">
        <is>
          <t>C</t>
        </is>
      </c>
      <c r="B654" s="9" t="inlineStr">
        <is>
          <t>Not phone re-checked</t>
        </is>
      </c>
      <c r="C654" s="9" t="inlineStr">
        <is>
          <t>Max Defense System</t>
        </is>
      </c>
      <c r="D654" s="9" t="inlineStr">
        <is>
          <t>Disinfection &amp; Antimicrobial Services</t>
        </is>
      </c>
      <c r="E654" s="9" t="inlineStr">
        <is>
          <t>(800) 651-3194</t>
        </is>
      </c>
      <c r="F654" s="9" t="inlineStr">
        <is>
          <t>Chattanooga</t>
        </is>
      </c>
      <c r="G654" s="9" t="n"/>
      <c r="H654" s="9" t="inlineStr">
        <is>
          <t>37412</t>
        </is>
      </c>
      <c r="I654" s="9" t="n"/>
      <c r="J654" s="9" t="inlineStr">
        <is>
          <t>maxdefensesystem.com</t>
        </is>
      </c>
      <c r="K654" s="10" t="n"/>
      <c r="L654" s="10" t="n"/>
      <c r="M654" s="10" t="n"/>
      <c r="N654" s="10" t="n"/>
      <c r="O654" s="9" t="inlineStr">
        <is>
          <t>Priced down to C on purpose. Their own site is a nationwide network with landing pages for Phoenix, Fargo, Memphis and dozens more plus a 'become a service provider' page, so the work is subcontracted and there may be no owned fleet at the Merrill Street address. Only an 800 number is published - no local number, address or email.</t>
        </is>
      </c>
    </row>
    <row r="655">
      <c r="A655" s="14" t="inlineStr">
        <is>
          <t>C</t>
        </is>
      </c>
      <c r="B655" s="9" t="inlineStr">
        <is>
          <t>Not phone re-checked</t>
        </is>
      </c>
      <c r="C655" s="9" t="inlineStr">
        <is>
          <t>Metal Makers Classes</t>
        </is>
      </c>
      <c r="D655" s="9" t="inlineStr">
        <is>
          <t>Welding School &amp; Makerspace</t>
        </is>
      </c>
      <c r="E655" s="9" t="inlineStr">
        <is>
          <t>(423) 463-0509</t>
        </is>
      </c>
      <c r="F655" s="9" t="inlineStr">
        <is>
          <t>Chattanooga</t>
        </is>
      </c>
      <c r="G655" s="9" t="inlineStr">
        <is>
          <t>1007 Taft Avenue</t>
        </is>
      </c>
      <c r="H655" s="9" t="inlineStr">
        <is>
          <t>37408</t>
        </is>
      </c>
      <c r="I655" s="9" t="n"/>
      <c r="J655" s="9" t="inlineStr">
        <is>
          <t>metalmakersclasses.com</t>
        </is>
      </c>
      <c r="K655" s="10" t="n"/>
      <c r="L655" s="10" t="n"/>
      <c r="M655" s="10" t="n"/>
      <c r="N655" s="10" t="n"/>
      <c r="O655" s="9" t="inlineStr">
        <is>
          <t>A teaching shop and makerspace rather than a trade contractor, so little or no fleet - kept at C. Their own site says 1007 Taft Ave; the Vibe record's 1009 is off by a door.</t>
        </is>
      </c>
    </row>
    <row r="656">
      <c r="A656" s="14" t="inlineStr">
        <is>
          <t>C</t>
        </is>
      </c>
      <c r="B656" s="9" t="inlineStr">
        <is>
          <t>Not phone re-checked</t>
        </is>
      </c>
      <c r="C656" s="9" t="inlineStr">
        <is>
          <t>Naylor Engineering &amp; Consulting, LLC</t>
        </is>
      </c>
      <c r="D656" s="9" t="inlineStr">
        <is>
          <t>Electrical Engineering Consulting</t>
        </is>
      </c>
      <c r="E656" s="9" t="inlineStr">
        <is>
          <t>(423) 509-8973</t>
        </is>
      </c>
      <c r="F656" s="9" t="inlineStr">
        <is>
          <t>Chattanooga</t>
        </is>
      </c>
      <c r="G656" s="9" t="inlineStr">
        <is>
          <t>2288 Gunbarrel Road Suite 154-350</t>
        </is>
      </c>
      <c r="H656" s="9" t="inlineStr">
        <is>
          <t>37421</t>
        </is>
      </c>
      <c r="I656" s="9" t="inlineStr">
        <is>
          <t>dean.naylor@naylor-ec.com</t>
        </is>
      </c>
      <c r="J656" s="9" t="inlineStr">
        <is>
          <t>naylor-ec.com</t>
        </is>
      </c>
      <c r="K656" s="10" t="n"/>
      <c r="L656" s="10" t="n"/>
      <c r="M656" s="10" t="n"/>
      <c r="N656" s="10" t="n"/>
      <c r="O656" s="9" t="inlineStr">
        <is>
          <t>Dean Naylor is the principal and the named contact. Arc flash and electrical safety studies mean site visits, but the suite number is a mailbox and the headcount is 1-10, so this is one or two vehicles at most - kept at C.</t>
        </is>
      </c>
    </row>
    <row r="657">
      <c r="A657" s="14" t="inlineStr">
        <is>
          <t>C</t>
        </is>
      </c>
      <c r="B657" s="9" t="inlineStr">
        <is>
          <t>Not phone re-checked</t>
        </is>
      </c>
      <c r="C657" s="9" t="inlineStr">
        <is>
          <t>North Chickamauga Creek Conservancy</t>
        </is>
      </c>
      <c r="D657" s="9" t="inlineStr">
        <is>
          <t>Environmental Non-Profit</t>
        </is>
      </c>
      <c r="E657" s="9" t="inlineStr">
        <is>
          <t>(423) 842-1163</t>
        </is>
      </c>
      <c r="F657" s="9" t="inlineStr">
        <is>
          <t>Hixson</t>
        </is>
      </c>
      <c r="G657" s="9" t="inlineStr">
        <is>
          <t>P.O. Box 358</t>
        </is>
      </c>
      <c r="H657" s="9" t="inlineStr">
        <is>
          <t>37343</t>
        </is>
      </c>
      <c r="I657" s="9" t="n"/>
      <c r="J657" s="9" t="inlineStr">
        <is>
          <t>northchick.org</t>
        </is>
      </c>
      <c r="K657" s="10" t="n"/>
      <c r="L657" s="10" t="n"/>
      <c r="M657" s="10" t="n"/>
      <c r="N657" s="10" t="n"/>
      <c r="O657" s="9" t="inlineStr">
        <is>
          <t>Gap-filled 2026-09-04: phone, mailing address and website added. A land conservancy runs trucks and trail equipment onto rough ground, though as a small nonprofit the fleet is modest - kept at C.</t>
        </is>
      </c>
    </row>
    <row r="658">
      <c r="A658" s="14" t="inlineStr">
        <is>
          <t>C</t>
        </is>
      </c>
      <c r="B658" s="9" t="inlineStr">
        <is>
          <t>Not phone re-checked</t>
        </is>
      </c>
      <c r="C658" s="9" t="inlineStr">
        <is>
          <t>Northgate Animal Hospital</t>
        </is>
      </c>
      <c r="D658" s="9" t="inlineStr">
        <is>
          <t>Veterinary Clinic</t>
        </is>
      </c>
      <c r="E658" s="9" t="inlineStr">
        <is>
          <t>(423) 875-9033</t>
        </is>
      </c>
      <c r="F658" s="9" t="inlineStr">
        <is>
          <t>Hixson</t>
        </is>
      </c>
      <c r="G658" s="9" t="inlineStr">
        <is>
          <t>1600 Hamill Rd</t>
        </is>
      </c>
      <c r="H658" s="9" t="inlineStr">
        <is>
          <t>37343</t>
        </is>
      </c>
      <c r="I658" s="9" t="inlineStr">
        <is>
          <t>contact@nahtn.com</t>
        </is>
      </c>
      <c r="J658" s="9" t="inlineStr">
        <is>
          <t>nahtn.com</t>
        </is>
      </c>
      <c r="K658" s="10" t="n"/>
      <c r="L658" s="10" t="n"/>
      <c r="M658" s="10" t="n"/>
      <c r="N658" s="10" t="n"/>
      <c r="O658" s="9" t="inlineStr">
        <is>
          <t>NEW LEAD. Business-run page: address, phone, email and website all confirmed.</t>
        </is>
      </c>
    </row>
    <row r="659">
      <c r="A659" s="14" t="inlineStr">
        <is>
          <t>C</t>
        </is>
      </c>
      <c r="B659" s="9" t="inlineStr">
        <is>
          <t>Not phone re-checked</t>
        </is>
      </c>
      <c r="C659" s="9" t="inlineStr">
        <is>
          <t>Ooltewah Animal Clinic</t>
        </is>
      </c>
      <c r="D659" s="9" t="inlineStr">
        <is>
          <t>Veterinary</t>
        </is>
      </c>
      <c r="E659" s="9" t="inlineStr">
        <is>
          <t>(423) 238-5087</t>
        </is>
      </c>
      <c r="F659" s="9" t="inlineStr">
        <is>
          <t>Ooltewah</t>
        </is>
      </c>
      <c r="G659" s="9" t="inlineStr">
        <is>
          <t>5617 Main St</t>
        </is>
      </c>
      <c r="H659" s="9" t="inlineStr">
        <is>
          <t>37363</t>
        </is>
      </c>
      <c r="I659" s="9" t="n"/>
      <c r="J659" s="9" t="n"/>
      <c r="K659" s="10" t="n"/>
      <c r="L659" s="10" t="n"/>
      <c r="M659" s="10" t="n"/>
      <c r="N659" s="10" t="n"/>
      <c r="O659" s="9" t="inlineStr">
        <is>
          <t>Gap-filled 2026-09-04: no website could be tied to this name. Ooltewah has four veterinary practices - Animal Medical Professionals, The Animal Care Center of Ooltewah, Ooltewah Veterinary Hospital and Applebrook - and none of them trades as 'Ooltewah Animal Clinic'. Nothing recorded rather than attach the wrong practice. Confirm the trading name before calling.</t>
        </is>
      </c>
    </row>
    <row r="660">
      <c r="A660" s="14" t="inlineStr">
        <is>
          <t>C</t>
        </is>
      </c>
      <c r="B660" s="9" t="inlineStr">
        <is>
          <t>Not phone re-checked</t>
        </is>
      </c>
      <c r="C660" s="9" t="inlineStr">
        <is>
          <t>Ooltewah Nursery &amp; Landscaping Co.</t>
        </is>
      </c>
      <c r="D660" s="9" t="inlineStr">
        <is>
          <t>Landscaping</t>
        </is>
      </c>
      <c r="E660" s="9" t="inlineStr">
        <is>
          <t>(423) 238-9775</t>
        </is>
      </c>
      <c r="F660" s="9" t="inlineStr">
        <is>
          <t>Ooltewah</t>
        </is>
      </c>
      <c r="G660" s="9" t="inlineStr">
        <is>
          <t>5829 Main St</t>
        </is>
      </c>
      <c r="H660" s="9" t="inlineStr">
        <is>
          <t>37363</t>
        </is>
      </c>
      <c r="I660" s="9" t="inlineStr">
        <is>
          <t>sales@ooltewahnursery.com</t>
        </is>
      </c>
      <c r="J660" s="9" t="inlineStr">
        <is>
          <t>ooltewahnursery.com</t>
        </is>
      </c>
      <c r="K660" s="10" t="n"/>
      <c r="L660" s="10" t="n"/>
      <c r="M660" s="10" t="n"/>
      <c r="N660" s="10" t="n"/>
      <c r="O660" s="9" t="inlineStr">
        <is>
          <t>found website+email; since 1989</t>
        </is>
      </c>
    </row>
    <row r="661">
      <c r="A661" s="14" t="inlineStr">
        <is>
          <t>C</t>
        </is>
      </c>
      <c r="B661" s="9" t="inlineStr">
        <is>
          <t>Not phone re-checked</t>
        </is>
      </c>
      <c r="C661" s="9" t="inlineStr">
        <is>
          <t>PREIS Inspections</t>
        </is>
      </c>
      <c r="D661" s="9" t="inlineStr">
        <is>
          <t>Home Inspection</t>
        </is>
      </c>
      <c r="E661" s="9" t="inlineStr">
        <is>
          <t>(423) 991-8035</t>
        </is>
      </c>
      <c r="F661" s="9" t="inlineStr">
        <is>
          <t>Chattanooga</t>
        </is>
      </c>
      <c r="G661" s="9" t="inlineStr">
        <is>
          <t>2000 S Willow St</t>
        </is>
      </c>
      <c r="H661" s="9" t="inlineStr">
        <is>
          <t>37404</t>
        </is>
      </c>
      <c r="I661" s="9" t="n"/>
      <c r="J661" s="9" t="inlineStr">
        <is>
          <t>go-preis.com</t>
        </is>
      </c>
      <c r="K661" s="10" t="n"/>
      <c r="L661" s="10" t="n"/>
      <c r="M661" s="10" t="n"/>
      <c r="N661" s="10" t="n"/>
      <c r="O661" s="9" t="inlineStr">
        <is>
          <t>verified go-preis.com live; est 1982</t>
        </is>
      </c>
    </row>
    <row r="662">
      <c r="A662" s="14" t="inlineStr">
        <is>
          <t>C</t>
        </is>
      </c>
      <c r="B662" s="9" t="inlineStr">
        <is>
          <t>Not phone re-checked</t>
        </is>
      </c>
      <c r="C662" s="9" t="inlineStr">
        <is>
          <t>Printing Plus Signs</t>
        </is>
      </c>
      <c r="D662" s="9" t="inlineStr">
        <is>
          <t>Sign Company / Printing</t>
        </is>
      </c>
      <c r="E662" s="9" t="inlineStr">
        <is>
          <t>(423) 664-4164</t>
        </is>
      </c>
      <c r="F662" s="9" t="inlineStr">
        <is>
          <t>Chattanooga</t>
        </is>
      </c>
      <c r="G662" s="9" t="inlineStr">
        <is>
          <t>1922 Dayton Blvd</t>
        </is>
      </c>
      <c r="H662" s="9" t="inlineStr">
        <is>
          <t>37415</t>
        </is>
      </c>
      <c r="I662" s="9" t="inlineStr">
        <is>
          <t>orders@printingplussigns.com</t>
        </is>
      </c>
      <c r="J662" s="9" t="inlineStr">
        <is>
          <t>printingplussigns.com</t>
        </is>
      </c>
      <c r="K662" s="10" t="n"/>
      <c r="L662" s="10" t="n"/>
      <c r="M662" s="10" t="n"/>
      <c r="N662" s="10" t="n"/>
      <c r="O662" s="9" t="inlineStr">
        <is>
          <t>found website+email</t>
        </is>
      </c>
    </row>
    <row r="663">
      <c r="A663" s="14" t="inlineStr">
        <is>
          <t>C</t>
        </is>
      </c>
      <c r="B663" s="9" t="inlineStr">
        <is>
          <t>Not phone re-checked</t>
        </is>
      </c>
      <c r="C663" s="9" t="inlineStr">
        <is>
          <t>Ray Lawns</t>
        </is>
      </c>
      <c r="D663" s="9" t="inlineStr">
        <is>
          <t>Landscaping</t>
        </is>
      </c>
      <c r="E663" s="9" t="inlineStr">
        <is>
          <t>(423) 618-4477</t>
        </is>
      </c>
      <c r="F663" s="9" t="inlineStr">
        <is>
          <t>Ooltewah</t>
        </is>
      </c>
      <c r="G663" s="9" t="inlineStr">
        <is>
          <t>9375 Standifer Gap Rd</t>
        </is>
      </c>
      <c r="H663" s="9" t="inlineStr">
        <is>
          <t>37363</t>
        </is>
      </c>
      <c r="I663" s="9" t="inlineStr">
        <is>
          <t>briaray@gmail.com</t>
        </is>
      </c>
      <c r="J663" s="9" t="inlineStr">
        <is>
          <t>raylawns.com</t>
        </is>
      </c>
      <c r="K663" s="10" t="n"/>
      <c r="L663" s="10" t="n"/>
      <c r="M663" s="10" t="n"/>
      <c r="N663" s="10" t="n"/>
      <c r="O663" s="9" t="inlineStr">
        <is>
          <t>found website+email; since 2002</t>
        </is>
      </c>
    </row>
    <row r="664">
      <c r="A664" s="14" t="inlineStr">
        <is>
          <t>C</t>
        </is>
      </c>
      <c r="B664" s="9" t="inlineStr">
        <is>
          <t>Not phone re-checked</t>
        </is>
      </c>
      <c r="C664" s="9" t="inlineStr">
        <is>
          <t>ROSS GLASS AND ALUMINUM, LLC</t>
        </is>
      </c>
      <c r="D664" s="9" t="inlineStr">
        <is>
          <t>Architectural Glass &amp; Glazing</t>
        </is>
      </c>
      <c r="E664" s="9" t="inlineStr">
        <is>
          <t>(423) 629-5787</t>
        </is>
      </c>
      <c r="F664" s="9" t="inlineStr">
        <is>
          <t>Chattanooga</t>
        </is>
      </c>
      <c r="G664" s="9" t="inlineStr">
        <is>
          <t>2420 Broad Street</t>
        </is>
      </c>
      <c r="H664" s="9" t="inlineStr">
        <is>
          <t>37408</t>
        </is>
      </c>
      <c r="I664" s="9" t="n"/>
      <c r="J664" s="9" t="inlineStr">
        <is>
          <t>rossglass.com</t>
        </is>
      </c>
      <c r="K664" s="10" t="n"/>
      <c r="L664" s="10" t="n"/>
      <c r="M664" s="10" t="n"/>
      <c r="N664" s="10" t="n"/>
      <c r="O664" s="9" t="inlineStr">
        <is>
          <t>Gap-filled 2026-09-04: phone added - the first pass confirmed the address off their own site but could find no number. Still a trade neighbour rather than a competitor: architectural glazing, not vehicles, so referrals could run both ways.</t>
        </is>
      </c>
    </row>
    <row r="665">
      <c r="A665" s="14" t="inlineStr">
        <is>
          <t>C</t>
        </is>
      </c>
      <c r="B665" s="9" t="inlineStr">
        <is>
          <t>Not phone re-checked</t>
        </is>
      </c>
      <c r="C665" s="9" t="inlineStr">
        <is>
          <t>Shelton Landscape Supply</t>
        </is>
      </c>
      <c r="D665" s="9" t="inlineStr">
        <is>
          <t>Landscape Supply</t>
        </is>
      </c>
      <c r="E665" s="9" t="inlineStr">
        <is>
          <t>(423) 842-9708</t>
        </is>
      </c>
      <c r="F665" s="9" t="inlineStr">
        <is>
          <t>Hixson</t>
        </is>
      </c>
      <c r="G665" s="9" t="inlineStr">
        <is>
          <t>7703 Hixson Pike</t>
        </is>
      </c>
      <c r="H665" s="9" t="inlineStr">
        <is>
          <t>37343</t>
        </is>
      </c>
      <c r="I665" s="9" t="n"/>
      <c r="J665" s="9" t="n"/>
      <c r="K665" s="10" t="n"/>
      <c r="L665" s="10" t="n"/>
      <c r="M665" s="10" t="n"/>
      <c r="N665" s="10" t="n"/>
      <c r="O665" s="9" t="inlineStr">
        <is>
          <t>Gap-filled 2026-09-04: the row was empty of both website and phone; both address and number now in. No official website. Landscape supply means delivery trucks, and the U-Haul franchise puts rental trucks on the lot too. Note Shelton Construction and Trucking is separately on this list at 7611 Hixson Pike - likely related, worth asking.</t>
        </is>
      </c>
    </row>
    <row r="666">
      <c r="A666" s="14" t="inlineStr">
        <is>
          <t>C</t>
        </is>
      </c>
      <c r="B666" s="9" t="inlineStr">
        <is>
          <t>Not phone re-checked</t>
        </is>
      </c>
      <c r="C666" s="9" t="inlineStr">
        <is>
          <t>Steam Logistics</t>
        </is>
      </c>
      <c r="D666" s="9" t="inlineStr">
        <is>
          <t>Freight Brokerage</t>
        </is>
      </c>
      <c r="E666" s="9" t="inlineStr">
        <is>
          <t>(855) 671-9885</t>
        </is>
      </c>
      <c r="F666" s="9" t="inlineStr">
        <is>
          <t>Chattanooga</t>
        </is>
      </c>
      <c r="G666" s="9" t="inlineStr">
        <is>
          <t>328 Broad St</t>
        </is>
      </c>
      <c r="H666" s="9" t="inlineStr">
        <is>
          <t>37402</t>
        </is>
      </c>
      <c r="I666" s="9" t="inlineStr">
        <is>
          <t>clientsuccessteam@steamlogistics.com</t>
        </is>
      </c>
      <c r="J666" s="9" t="inlineStr">
        <is>
          <t>steamlogistics.com</t>
        </is>
      </c>
      <c r="K666" s="10" t="n"/>
      <c r="L666" s="10" t="n"/>
      <c r="M666" s="10" t="n"/>
      <c r="N666" s="10" t="n"/>
      <c r="O666" s="9" t="inlineStr">
        <is>
          <t>verified steamlogistics.com live</t>
        </is>
      </c>
    </row>
    <row r="667">
      <c r="A667" s="14" t="inlineStr">
        <is>
          <t>C</t>
        </is>
      </c>
      <c r="B667" s="9" t="inlineStr">
        <is>
          <t>Not phone re-checked</t>
        </is>
      </c>
      <c r="C667" s="9" t="inlineStr">
        <is>
          <t>Sto A Way Storage (U-Haul Neighborhood Dealer)</t>
        </is>
      </c>
      <c r="D667" s="9" t="inlineStr">
        <is>
          <t>Self-Storage / Truck Rental</t>
        </is>
      </c>
      <c r="E667" s="9" t="inlineStr">
        <is>
          <t>(423) 243-3067</t>
        </is>
      </c>
      <c r="F667" s="9" t="inlineStr">
        <is>
          <t>Soddy-Daisy</t>
        </is>
      </c>
      <c r="G667" s="9" t="inlineStr">
        <is>
          <t>136 Bean St Unit A</t>
        </is>
      </c>
      <c r="H667" s="9" t="inlineStr">
        <is>
          <t>37379</t>
        </is>
      </c>
      <c r="I667" s="9" t="n"/>
      <c r="J667" s="9" t="inlineStr">
        <is>
          <t>uhaul.com/Locations/Truck-Rentals-near-Soddy-Daisy-TN-37379/029022/</t>
        </is>
      </c>
      <c r="K667" s="10" t="n"/>
      <c r="L667" s="10" t="n"/>
      <c r="M667" s="10" t="n"/>
      <c r="N667" s="10" t="n"/>
      <c r="O667" s="9" t="inlineStr">
        <is>
          <t>Verified on U-Haul's own dealer record: address and phone confirmed. Rents trucks, trailers and towing equipment as a U-Haul neighbourhood dealer.</t>
        </is>
      </c>
    </row>
    <row r="668">
      <c r="A668" s="14" t="inlineStr">
        <is>
          <t>C</t>
        </is>
      </c>
      <c r="B668" s="9" t="inlineStr">
        <is>
          <t>Not phone re-checked</t>
        </is>
      </c>
      <c r="C668" s="9" t="inlineStr">
        <is>
          <t>Ted Fugunt Heating &amp; Air Conditioning</t>
        </is>
      </c>
      <c r="D668" s="9" t="inlineStr">
        <is>
          <t>HVAC</t>
        </is>
      </c>
      <c r="E668" s="9" t="inlineStr">
        <is>
          <t>(423) 894-3723</t>
        </is>
      </c>
      <c r="F668" s="9" t="inlineStr">
        <is>
          <t>Chattanooga</t>
        </is>
      </c>
      <c r="G668" s="9" t="inlineStr">
        <is>
          <t>1105 Mackey Ave</t>
        </is>
      </c>
      <c r="H668" s="9" t="inlineStr">
        <is>
          <t>37421</t>
        </is>
      </c>
      <c r="I668" s="9" t="n"/>
      <c r="J668" s="9" t="inlineStr">
        <is>
          <t>tedfugunt.com</t>
        </is>
      </c>
      <c r="K668" s="10" t="n"/>
      <c r="L668" s="10" t="n"/>
      <c r="M668" s="10" t="n"/>
      <c r="N668" s="10" t="n"/>
      <c r="O668" s="9" t="inlineStr">
        <is>
          <t>verified tedfugunt.com live</t>
        </is>
      </c>
    </row>
    <row r="669">
      <c r="A669" s="14" t="inlineStr">
        <is>
          <t>C</t>
        </is>
      </c>
      <c r="B669" s="9" t="inlineStr">
        <is>
          <t>Not phone re-checked</t>
        </is>
      </c>
      <c r="C669" s="9" t="inlineStr">
        <is>
          <t>The UPS Store 3342 (Hixson)</t>
        </is>
      </c>
      <c r="D669" s="9" t="inlineStr">
        <is>
          <t>Shipping / Print Services</t>
        </is>
      </c>
      <c r="E669" s="9" t="inlineStr">
        <is>
          <t>(423) 842-1000</t>
        </is>
      </c>
      <c r="F669" s="9" t="inlineStr">
        <is>
          <t>Hixson</t>
        </is>
      </c>
      <c r="G669" s="9" t="inlineStr">
        <is>
          <t>5928 Hixson Pike Ste A</t>
        </is>
      </c>
      <c r="H669" s="9" t="inlineStr">
        <is>
          <t>37343</t>
        </is>
      </c>
      <c r="I669" s="9" t="n"/>
      <c r="J669" s="9" t="inlineStr">
        <is>
          <t>theupsstore.com</t>
        </is>
      </c>
      <c r="K669" s="10" t="n"/>
      <c r="L669" s="10" t="n"/>
      <c r="M669" s="10" t="n"/>
      <c r="N669" s="10" t="n"/>
      <c r="O669" s="9" t="inlineStr">
        <is>
          <t>NEW LEAD. Store page: address and phone confirmed. Franchise store rather than UPS's own delivery fleet, so a small-vehicle account at best.</t>
        </is>
      </c>
    </row>
    <row r="670">
      <c r="A670" s="14" t="inlineStr">
        <is>
          <t>C</t>
        </is>
      </c>
      <c r="B670" s="9" t="inlineStr">
        <is>
          <t>Not phone re-checked</t>
        </is>
      </c>
      <c r="C670" s="9" t="inlineStr">
        <is>
          <t>True Dental - Hixson</t>
        </is>
      </c>
      <c r="D670" s="9" t="inlineStr">
        <is>
          <t>Dental Practice</t>
        </is>
      </c>
      <c r="E670" s="9" t="inlineStr">
        <is>
          <t>(423) 875-6778</t>
        </is>
      </c>
      <c r="F670" s="9" t="inlineStr">
        <is>
          <t>Hixson</t>
        </is>
      </c>
      <c r="G670" s="9" t="inlineStr">
        <is>
          <t>4513 Hixson Pike Suite 103</t>
        </is>
      </c>
      <c r="H670" s="9" t="inlineStr">
        <is>
          <t>37343</t>
        </is>
      </c>
      <c r="I670" s="9" t="n"/>
      <c r="J670" s="9" t="inlineStr">
        <is>
          <t>truedental.care/locations/hixson</t>
        </is>
      </c>
      <c r="K670" s="10" t="n"/>
      <c r="L670" s="10" t="n"/>
      <c r="M670" s="10" t="n"/>
      <c r="N670" s="10" t="n"/>
      <c r="O670" s="9" t="inlineStr">
        <is>
          <t>Gap-filled 2026-09-04: website and suite address added, phone confirmed unchanged. A dental practice has almost no fleet - kept at C - but the contact details are now complete.</t>
        </is>
      </c>
    </row>
    <row r="671">
      <c r="A671" s="14" t="inlineStr">
        <is>
          <t>C</t>
        </is>
      </c>
      <c r="B671" s="9" t="inlineStr">
        <is>
          <t>Not phone re-checked</t>
        </is>
      </c>
      <c r="C671" s="9" t="inlineStr">
        <is>
          <t>True Shine Window Washers</t>
        </is>
      </c>
      <c r="D671" s="9" t="inlineStr">
        <is>
          <t>Window Cleaning (Commercial)</t>
        </is>
      </c>
      <c r="E671" s="9" t="inlineStr">
        <is>
          <t>(423) 503-8783</t>
        </is>
      </c>
      <c r="F671" s="9" t="inlineStr">
        <is>
          <t>Chattanooga</t>
        </is>
      </c>
      <c r="G671" s="9" t="inlineStr">
        <is>
          <t>5600 St Elmo Ave</t>
        </is>
      </c>
      <c r="H671" s="9" t="inlineStr">
        <is>
          <t>37409</t>
        </is>
      </c>
      <c r="I671" s="9" t="inlineStr">
        <is>
          <t>trueshinechatt@gmail.com</t>
        </is>
      </c>
      <c r="J671" s="9" t="inlineStr">
        <is>
          <t>trueshinewindowwashers.com</t>
        </is>
      </c>
      <c r="K671" s="10" t="n"/>
      <c r="L671" s="10" t="n"/>
      <c r="M671" s="10" t="n"/>
      <c r="N671" s="10" t="n"/>
      <c r="O671" s="9" t="inlineStr">
        <is>
          <t>verified trueshinewindowwashers.com live; since 1999</t>
        </is>
      </c>
    </row>
    <row r="672">
      <c r="A672" s="14" t="inlineStr">
        <is>
          <t>C</t>
        </is>
      </c>
      <c r="B672" s="9" t="inlineStr">
        <is>
          <t>Not phone re-checked</t>
        </is>
      </c>
      <c r="C672" s="9" t="inlineStr">
        <is>
          <t>Unity Of Chattanooga</t>
        </is>
      </c>
      <c r="D672" s="9" t="inlineStr">
        <is>
          <t>Church &amp; Spiritual Centre</t>
        </is>
      </c>
      <c r="E672" s="9" t="inlineStr">
        <is>
          <t>(423) 755-7990</t>
        </is>
      </c>
      <c r="F672" s="9" t="inlineStr">
        <is>
          <t>Chattanooga</t>
        </is>
      </c>
      <c r="G672" s="9" t="inlineStr">
        <is>
          <t>105 McBrien Road</t>
        </is>
      </c>
      <c r="H672" s="9" t="inlineStr">
        <is>
          <t>37411</t>
        </is>
      </c>
      <c r="I672" s="9" t="inlineStr">
        <is>
          <t>contact@unityofchattanooga.org</t>
        </is>
      </c>
      <c r="J672" s="9" t="inlineStr">
        <is>
          <t>unityofchattanooga.org</t>
        </is>
      </c>
      <c r="K672" s="10" t="n"/>
      <c r="L672" s="10" t="n"/>
      <c r="M672" s="10" t="n"/>
      <c r="N672" s="10" t="n"/>
      <c r="O672" s="9" t="inlineStr">
        <is>
          <t>Kept at C and the record corrected twice over: this is a church, not a trucking company as the Vibe industry field claims, and their own site puts them on McBrien Road, not the 400 East Main Street on the record. Congregation vans at most, so low fleet value - included only because the contact details are solid and churches do run vehicles.</t>
        </is>
      </c>
    </row>
    <row r="673">
      <c r="A673" s="14" t="inlineStr">
        <is>
          <t>C</t>
        </is>
      </c>
      <c r="B673" s="9" t="inlineStr">
        <is>
          <t>Not phone re-checked</t>
        </is>
      </c>
      <c r="C673" s="9" t="inlineStr">
        <is>
          <t>Walden Ridge Service Station</t>
        </is>
      </c>
      <c r="D673" s="9" t="inlineStr">
        <is>
          <t>Gas Station / Auto Service</t>
        </is>
      </c>
      <c r="E673" s="9" t="inlineStr">
        <is>
          <t>(423) 886-2695</t>
        </is>
      </c>
      <c r="F673" s="9" t="inlineStr">
        <is>
          <t>Walden</t>
        </is>
      </c>
      <c r="G673" s="9" t="inlineStr">
        <is>
          <t>1820 Taft Highway</t>
        </is>
      </c>
      <c r="H673" s="9" t="inlineStr">
        <is>
          <t>37377</t>
        </is>
      </c>
      <c r="I673" s="9" t="n"/>
      <c r="J673" s="9" t="n"/>
      <c r="K673" s="10" t="n"/>
      <c r="L673" s="10" t="n"/>
      <c r="M673" s="10" t="n"/>
      <c r="N673" s="10" t="n"/>
      <c r="O673" s="9" t="inlineStr">
        <is>
          <t>Gap-filled 2026-09-04: phone and address added. Automotive, motorcycle and small engine work plus a DOT carrier registration, so they run vehicles of their own as well as fixing others'. Do not confuse with Walden's Ridge Utility District or Waldens Ridge Emergency Services, both separate.</t>
        </is>
      </c>
    </row>
    <row r="674">
      <c r="A674" s="14" t="inlineStr">
        <is>
          <t>C</t>
        </is>
      </c>
      <c r="B674" s="9" t="inlineStr">
        <is>
          <t>Not phone re-checked</t>
        </is>
      </c>
      <c r="C674" s="9" t="inlineStr">
        <is>
          <t>Wann Funeral Home &amp; Cremation Center</t>
        </is>
      </c>
      <c r="D674" s="9" t="inlineStr">
        <is>
          <t>Funeral Home</t>
        </is>
      </c>
      <c r="E674" s="9" t="inlineStr">
        <is>
          <t>(423) 821-7551</t>
        </is>
      </c>
      <c r="F674" s="9" t="inlineStr">
        <is>
          <t>Chattanooga</t>
        </is>
      </c>
      <c r="G674" s="9" t="inlineStr">
        <is>
          <t>3918 Tennessee Ave Ste 104</t>
        </is>
      </c>
      <c r="H674" s="9" t="inlineStr">
        <is>
          <t>37409</t>
        </is>
      </c>
      <c r="I674" s="9" t="inlineStr">
        <is>
          <t>wannfuneralhome@gmail.com</t>
        </is>
      </c>
      <c r="J674" s="9" t="inlineStr">
        <is>
          <t>wannfuneralhome.com</t>
        </is>
      </c>
      <c r="K674" s="10" t="n"/>
      <c r="L674" s="10" t="n"/>
      <c r="M674" s="10" t="n"/>
      <c r="N674" s="10" t="n"/>
      <c r="O674" s="9" t="inlineStr">
        <is>
          <t>verified wannfuneralhome.com live; moved from old St Elmo bldg</t>
        </is>
      </c>
    </row>
    <row r="675">
      <c r="A675" s="14" t="inlineStr">
        <is>
          <t>C</t>
        </is>
      </c>
      <c r="B675" s="9" t="inlineStr">
        <is>
          <t>Not phone re-checked</t>
        </is>
      </c>
      <c r="C675" s="9" t="inlineStr">
        <is>
          <t>West Home Services LLC</t>
        </is>
      </c>
      <c r="D675" s="9" t="inlineStr">
        <is>
          <t>Home Improvement / Remodeling / Siding</t>
        </is>
      </c>
      <c r="E675" s="9" t="inlineStr">
        <is>
          <t>(423) 432-4912</t>
        </is>
      </c>
      <c r="F675" s="9" t="inlineStr">
        <is>
          <t>Hixson</t>
        </is>
      </c>
      <c r="G675" s="9" t="inlineStr">
        <is>
          <t>8021 Hale Road</t>
        </is>
      </c>
      <c r="H675" s="9" t="inlineStr">
        <is>
          <t>37343</t>
        </is>
      </c>
      <c r="I675" s="9" t="n"/>
      <c r="J675" s="9" t="inlineStr">
        <is>
          <t>westhomeservices.net</t>
        </is>
      </c>
      <c r="K675" s="10" t="n"/>
      <c r="L675" s="10" t="n"/>
      <c r="M675" s="10" t="n"/>
      <c r="N675" s="10" t="n"/>
      <c r="O675" s="9" t="inlineStr">
        <is>
          <t>Gap-filled 2026-09-04: phone, address and website added.</t>
        </is>
      </c>
    </row>
    <row r="676">
      <c r="A676" s="14" t="inlineStr">
        <is>
          <t>C</t>
        </is>
      </c>
      <c r="B676" s="9" t="inlineStr">
        <is>
          <t>Not phone re-checked</t>
        </is>
      </c>
      <c r="C676" s="9" t="inlineStr">
        <is>
          <t>Woodruff Lawn Care</t>
        </is>
      </c>
      <c r="D676" s="9" t="inlineStr">
        <is>
          <t>Lawn Care / Landscaping</t>
        </is>
      </c>
      <c r="E676" s="9" t="inlineStr">
        <is>
          <t>(423) 242-8762</t>
        </is>
      </c>
      <c r="F676" s="9" t="inlineStr">
        <is>
          <t>Hixson</t>
        </is>
      </c>
      <c r="G676" s="9" t="n"/>
      <c r="H676" s="9" t="inlineStr">
        <is>
          <t>37343</t>
        </is>
      </c>
      <c r="I676" s="9" t="n"/>
      <c r="J676" s="9" t="n"/>
      <c r="K676" s="10" t="n"/>
      <c r="L676" s="10" t="n"/>
      <c r="M676" s="10" t="n"/>
      <c r="N676" s="10" t="n"/>
      <c r="O676" s="9" t="inlineStr">
        <is>
          <t>Gap-filled 2026-09-04: no website and nothing solid found. Searches return only established Hixson lawn firms and one passing review mention of a Dylan Woodruff trading as DylanDale Lawn Care, which may or may not be this row. Nothing recorded. Confirm the trading name before chasing.</t>
        </is>
      </c>
    </row>
    <row r="677">
      <c r="A677" s="14" t="inlineStr">
        <is>
          <t>C</t>
        </is>
      </c>
      <c r="B677" s="9" t="inlineStr">
        <is>
          <t>Not phone re-checked</t>
        </is>
      </c>
      <c r="C677" s="9" t="inlineStr">
        <is>
          <t>Zenbuild.com</t>
        </is>
      </c>
      <c r="D677" s="9" t="inlineStr">
        <is>
          <t>Thin Brick &amp; Stone Ecommerce</t>
        </is>
      </c>
      <c r="E677" s="9" t="inlineStr">
        <is>
          <t>(423) 664-8424</t>
        </is>
      </c>
      <c r="F677" s="9" t="inlineStr">
        <is>
          <t>Chattanooga</t>
        </is>
      </c>
      <c r="G677" s="9" t="n"/>
      <c r="H677" s="9" t="inlineStr">
        <is>
          <t>37404</t>
        </is>
      </c>
      <c r="I677" s="9" t="inlineStr">
        <is>
          <t>customerservice@zenbuild.com</t>
        </is>
      </c>
      <c r="J677" s="9" t="inlineStr">
        <is>
          <t>zenbuild.com</t>
        </is>
      </c>
      <c r="K677" s="10" t="n"/>
      <c r="L677" s="10" t="n"/>
      <c r="M677" s="10" t="n"/>
      <c r="N677" s="10" t="n"/>
      <c r="O677" s="9" t="inlineStr">
        <is>
          <t>Kept at C: they ship on common carriers rather than their own trucks, so the fleet behind the South Holtzclaw address is probably a van at most. Good contact details though - a real phone and a monitored email, which is more than most of this queue offers.</t>
        </is>
      </c>
    </row>
    <row r="678">
      <c r="A678" s="14" t="inlineStr">
        <is>
          <t>C</t>
        </is>
      </c>
      <c r="B678" s="11" t="inlineStr">
        <is>
          <t>Unconfirmed - verify before calling</t>
        </is>
      </c>
      <c r="C678" s="9" t="inlineStr">
        <is>
          <t>Christ Reformed Baptist Church</t>
        </is>
      </c>
      <c r="D678" s="9" t="inlineStr">
        <is>
          <t>Religious Organization</t>
        </is>
      </c>
      <c r="E678" s="9" t="inlineStr">
        <is>
          <t>(423) 521-2628</t>
        </is>
      </c>
      <c r="F678" s="9" t="inlineStr">
        <is>
          <t>Lookout Mountain</t>
        </is>
      </c>
      <c r="G678" s="9" t="inlineStr">
        <is>
          <t>901 Scenic Hwy</t>
        </is>
      </c>
      <c r="H678" s="9" t="inlineStr">
        <is>
          <t>37350</t>
        </is>
      </c>
      <c r="I678" s="9" t="n"/>
      <c r="J678" s="9" t="inlineStr">
        <is>
          <t>crbchattanooga.org</t>
        </is>
      </c>
      <c r="K678" s="10" t="n"/>
      <c r="L678" s="10" t="n"/>
      <c r="M678" s="10" t="n"/>
      <c r="N678" s="10" t="n"/>
      <c r="O678" s="9" t="inlineStr">
        <is>
          <t>OFFICIAL SITE: address confirmed on Lookout Mountain. Phone and email not published - sheet phone unconfirmed.</t>
        </is>
      </c>
    </row>
    <row r="679">
      <c r="A679" s="14" t="inlineStr">
        <is>
          <t>C</t>
        </is>
      </c>
      <c r="B679" s="11" t="inlineStr">
        <is>
          <t>Unconfirmed - verify before calling</t>
        </is>
      </c>
      <c r="C679" s="9" t="inlineStr">
        <is>
          <t>Joy Chiropractic Clinic</t>
        </is>
      </c>
      <c r="D679" s="9" t="inlineStr">
        <is>
          <t>Chiropractic Practice</t>
        </is>
      </c>
      <c r="E679" s="9" t="inlineStr">
        <is>
          <t>(423) 298-1488</t>
        </is>
      </c>
      <c r="F679" s="9" t="inlineStr">
        <is>
          <t>Collegedale</t>
        </is>
      </c>
      <c r="G679" s="9" t="inlineStr">
        <is>
          <t>9413 Apison Pike, Suite 122</t>
        </is>
      </c>
      <c r="H679" s="9" t="inlineStr">
        <is>
          <t>37315</t>
        </is>
      </c>
      <c r="I679" s="9" t="n"/>
      <c r="J679" s="9" t="inlineStr">
        <is>
          <t>drjoychiropractic.com</t>
        </is>
      </c>
      <c r="K679" s="10" t="n"/>
      <c r="L679" s="10" t="n"/>
      <c r="M679" s="10" t="n"/>
      <c r="N679" s="10" t="n"/>
      <c r="O679" s="9" t="inlineStr">
        <is>
          <t>OFFICIAL SITE: live, Dr Joy-Lynn Norris, Collegedale. No address, phone or email published on the site - sheet phone unconfirmed.</t>
        </is>
      </c>
    </row>
    <row r="680">
      <c r="A680" s="14" t="inlineStr">
        <is>
          <t>C</t>
        </is>
      </c>
      <c r="B680" s="11" t="inlineStr">
        <is>
          <t>Unconfirmed - verify before calling</t>
        </is>
      </c>
      <c r="C680" s="9" t="inlineStr">
        <is>
          <t>Octapharma Plasma</t>
        </is>
      </c>
      <c r="D680" s="9" t="inlineStr">
        <is>
          <t>Plasma Donation Center</t>
        </is>
      </c>
      <c r="E680" s="9" t="inlineStr">
        <is>
          <t>(423) 402-9434</t>
        </is>
      </c>
      <c r="F680" s="9" t="inlineStr">
        <is>
          <t>Chattanooga</t>
        </is>
      </c>
      <c r="G680" s="9" t="inlineStr">
        <is>
          <t>3569 Brainerd Rd</t>
        </is>
      </c>
      <c r="H680" s="9" t="inlineStr">
        <is>
          <t>37411</t>
        </is>
      </c>
      <c r="I680" s="9" t="n"/>
      <c r="J680" s="9" t="inlineStr">
        <is>
          <t>octapharmaplasma.com/plasma-donation/chattanooga-tn-133</t>
        </is>
      </c>
      <c r="K680" s="10" t="n"/>
      <c r="L680" s="10" t="n"/>
      <c r="M680" s="10" t="n"/>
      <c r="N680" s="10" t="n"/>
      <c r="O680" s="9" t="inlineStr">
        <is>
          <t>OFFICIAL SITE: the Chattanooga centre is confirmed and sited off Brainerd Rd, but the company publishes no street address or local phone. Donor support line is 704-654-4970. The sheet's 423 number remains unconfirmed.</t>
        </is>
      </c>
    </row>
    <row r="681">
      <c r="A681" s="14" t="inlineStr">
        <is>
          <t>C</t>
        </is>
      </c>
      <c r="B681" s="11" t="inlineStr">
        <is>
          <t>Unconfirmed - verify before calling</t>
        </is>
      </c>
      <c r="C681" s="9" t="inlineStr">
        <is>
          <t>Welch Dental Center, PLLC</t>
        </is>
      </c>
      <c r="D681" s="9" t="inlineStr">
        <is>
          <t>Dental Practice</t>
        </is>
      </c>
      <c r="E681" s="9" t="inlineStr">
        <is>
          <t>(423) 886-3649</t>
        </is>
      </c>
      <c r="F681" s="9" t="inlineStr">
        <is>
          <t>Signal Mountain</t>
        </is>
      </c>
      <c r="G681" s="9" t="inlineStr">
        <is>
          <t>1408 James Blvd</t>
        </is>
      </c>
      <c r="H681" s="9" t="inlineStr">
        <is>
          <t>37377</t>
        </is>
      </c>
      <c r="I681" s="9" t="n"/>
      <c r="J681" s="9" t="inlineStr">
        <is>
          <t>welchdds.com</t>
        </is>
      </c>
      <c r="K681" s="10" t="n"/>
      <c r="L681" s="10" t="n"/>
      <c r="M681" s="10" t="n"/>
      <c r="N681" s="10" t="n"/>
      <c r="O681" s="9" t="inlineStr">
        <is>
          <t>OFFICIAL SITE: phone confirmed (fax 423-886-2726). Street address and email not published, so the sheet address is unconfirmed.</t>
        </is>
      </c>
    </row>
    <row r="682">
      <c r="A682" s="14" t="inlineStr">
        <is>
          <t>C</t>
        </is>
      </c>
      <c r="B682" s="12" t="inlineStr">
        <is>
          <t>No phone on file</t>
        </is>
      </c>
      <c r="C682" s="9" t="inlineStr">
        <is>
          <t>-RENEW-</t>
        </is>
      </c>
      <c r="D682" s="9" t="inlineStr">
        <is>
          <t>Real Estate Development</t>
        </is>
      </c>
      <c r="E682" s="9" t="n"/>
      <c r="F682" s="9" t="inlineStr">
        <is>
          <t>Chattanooga</t>
        </is>
      </c>
      <c r="G682" s="9" t="inlineStr">
        <is>
          <t>2313 East Main Street</t>
        </is>
      </c>
      <c r="H682" s="9" t="n"/>
      <c r="I682" s="9" t="n"/>
      <c r="J682" s="9" t="inlineStr">
        <is>
          <t>renewthenoog.com</t>
        </is>
      </c>
      <c r="K682" s="10" t="n"/>
      <c r="L682" s="10" t="n"/>
      <c r="M682" s="10" t="n"/>
      <c r="N682" s="10" t="n"/>
      <c r="O682" s="9" t="inlineStr">
        <is>
          <t>Gap-filled 2026-09-04: address added, phone still not found. Two numbers circulate but neither can be tied to this company - (423) 508-4824 belongs to Renew Property Buyers of Rossville GA, a different firm in a different state, and (423) 624-9992 is attributed only to an unnamed 'Renew' entity. Neither recorded. A developer has little fleet anyway, so this is a low-value gap.</t>
        </is>
      </c>
    </row>
    <row r="683">
      <c r="A683" s="14" t="inlineStr">
        <is>
          <t>C</t>
        </is>
      </c>
      <c r="B683" s="12" t="inlineStr">
        <is>
          <t>No phone on file</t>
        </is>
      </c>
      <c r="C683" s="9" t="inlineStr">
        <is>
          <t>Canyon Creek Christian Academy</t>
        </is>
      </c>
      <c r="D683" s="9" t="inlineStr">
        <is>
          <t>Private School</t>
        </is>
      </c>
      <c r="E683" s="9" t="n"/>
      <c r="F683" s="9" t="inlineStr">
        <is>
          <t>Hixson</t>
        </is>
      </c>
      <c r="G683" s="9" t="n"/>
      <c r="H683" s="9" t="inlineStr">
        <is>
          <t>37343</t>
        </is>
      </c>
      <c r="I683" s="9" t="inlineStr">
        <is>
          <t>canyoncreekca@gmail.com</t>
        </is>
      </c>
      <c r="J683" s="9" t="inlineStr">
        <is>
          <t>canyoncreekchristian.com</t>
        </is>
      </c>
      <c r="K683" s="10" t="n"/>
      <c r="L683" s="10" t="n"/>
      <c r="M683" s="10" t="n"/>
      <c r="N683" s="10" t="n"/>
      <c r="O683" s="9" t="inlineStr">
        <is>
          <t>Gap-filled 2026-09-04: website and email added; no phone is published anywhere. Because it is a hybrid homeschool meeting in borrowed church buildings, there is unlikely to be a bus fleet - kept at C.</t>
        </is>
      </c>
    </row>
    <row r="684">
      <c r="A684" s="14" t="inlineStr">
        <is>
          <t>C</t>
        </is>
      </c>
      <c r="B684" s="12" t="inlineStr">
        <is>
          <t>No phone on file</t>
        </is>
      </c>
      <c r="C684" s="9" t="inlineStr">
        <is>
          <t>Chattanooga Masonry, Inc</t>
        </is>
      </c>
      <c r="D684" s="9" t="inlineStr">
        <is>
          <t>Masonry Trade Association</t>
        </is>
      </c>
      <c r="E684" s="9" t="n"/>
      <c r="F684" s="9" t="inlineStr">
        <is>
          <t>Chattanooga</t>
        </is>
      </c>
      <c r="G684" s="9" t="n"/>
      <c r="H684" s="9" t="n"/>
      <c r="I684" s="9" t="n"/>
      <c r="J684" s="9" t="inlineStr">
        <is>
          <t>chattanoogama.org</t>
        </is>
      </c>
      <c r="K684" s="10" t="n"/>
      <c r="L684" s="10" t="n"/>
      <c r="M684" s="10" t="n"/>
      <c r="N684" s="10" t="n"/>
      <c r="O684" s="9" t="inlineStr">
        <is>
          <t>Gap-filled 2026-09-04: no phone or website could be tied to a business of this exact name. Searches return the Chattanooga Masonry Association - a trade body, not this company - plus Jenkins, Adams, G&amp;P, Accent and Titan, all separate firms and several already on this list. Nothing recorded rather than risk attaching another company's number. Worth confirming the trading name before chasing.</t>
        </is>
      </c>
    </row>
    <row r="685">
      <c r="A685" s="14" t="inlineStr">
        <is>
          <t>C</t>
        </is>
      </c>
      <c r="B685" s="12" t="inlineStr">
        <is>
          <t>No phone on file</t>
        </is>
      </c>
      <c r="C685" s="9" t="inlineStr">
        <is>
          <t>CSI Construction Specification Institute Chattanooga Chapter</t>
        </is>
      </c>
      <c r="D685" s="9" t="inlineStr">
        <is>
          <t>Construction Trade Chapter</t>
        </is>
      </c>
      <c r="E685" s="9" t="n"/>
      <c r="F685" s="9" t="inlineStr">
        <is>
          <t>Chattanooga</t>
        </is>
      </c>
      <c r="G685" s="9" t="inlineStr">
        <is>
          <t>2225 Roanoke Ave</t>
        </is>
      </c>
      <c r="H685" s="9" t="inlineStr">
        <is>
          <t>37406</t>
        </is>
      </c>
      <c r="I685" s="9" t="n"/>
      <c r="J685" s="9" t="inlineStr">
        <is>
          <t>chattanoogacsi.org</t>
        </is>
      </c>
      <c r="K685" s="10" t="n"/>
      <c r="L685" s="10" t="n"/>
      <c r="M685" s="10" t="n"/>
      <c r="N685" s="10" t="n"/>
      <c r="O685" s="9" t="inlineStr">
        <is>
          <t>Gap-filled 2026-09-04: website added; the chapter publishes no phone of its own. This is a professional association of architects, specifiers and contractors, not a business with vehicles - so no fleet at all. Its real value is the annual Chattanooga Product Show, which is where the contractors on this list gather. Kept at C for the fleet, but the show may be worth more than a call.</t>
        </is>
      </c>
    </row>
    <row r="686">
      <c r="A686" s="14" t="inlineStr">
        <is>
          <t>C</t>
        </is>
      </c>
      <c r="B686" s="12" t="inlineStr">
        <is>
          <t>No phone on file</t>
        </is>
      </c>
      <c r="C686" s="9" t="inlineStr">
        <is>
          <t>Jacklyn Emerson Five Star Cleaning Services</t>
        </is>
      </c>
      <c r="D686" s="9" t="inlineStr">
        <is>
          <t>Commercial Cleaning</t>
        </is>
      </c>
      <c r="E686" s="9" t="n"/>
      <c r="F686" s="9" t="inlineStr">
        <is>
          <t>Hixson</t>
        </is>
      </c>
      <c r="G686" s="9" t="n"/>
      <c r="H686" s="9" t="inlineStr">
        <is>
          <t>37343</t>
        </is>
      </c>
      <c r="I686" s="9" t="n"/>
      <c r="J686" s="9" t="n"/>
      <c r="K686" s="10" t="n"/>
      <c r="L686" s="10" t="n"/>
      <c r="M686" s="10" t="n"/>
      <c r="N686" s="10" t="n"/>
      <c r="O686" s="9" t="inlineStr">
        <is>
          <t>Gap-filled 2026-09-04: nothing found. No website, no phone and no listing under this name; searches return only unrelated Chattanooga cleaning firms. Both website and phone remain empty - confirm the business exists and how it trades before spending time on it.</t>
        </is>
      </c>
    </row>
  </sheetData>
  <autoFilter ref="A1:O686"/>
  <pageMargins left="0.75" right="0.75" top="1" bottom="1" header="0.5" footer="0.5"/>
</worksheet>
</file>

<file path=xl/worksheets/sheet3.xml><?xml version="1.0" encoding="utf-8"?>
<worksheet xmlns="http://schemas.openxmlformats.org/spreadsheetml/2006/main">
  <sheetPr>
    <outlinePr summaryBelow="1" summaryRight="1"/>
    <pageSetUpPr/>
  </sheetPr>
  <dimension ref="B1:G6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5" customWidth="1" min="2" max="2"/>
    <col width="38" customWidth="1" min="3" max="3"/>
    <col width="17" customWidth="1" min="4" max="4"/>
    <col width="15" customWidth="1" min="5" max="5"/>
    <col width="32" customWidth="1" min="6" max="6"/>
    <col width="100" customWidth="1" min="7" max="7"/>
  </cols>
  <sheetData>
    <row r="1">
      <c r="B1" s="15" t="inlineStr">
        <is>
          <t>Numbers with no source - check these before calling</t>
        </is>
      </c>
    </row>
    <row r="2">
      <c r="B2" s="2" t="inlineStr">
        <is>
          <t>Their own website publishes no number we could reach, so what is on file is unproven rather than wrong. The note says what we did find; several name a switchboard, a parent company or a named person to try.</t>
        </is>
      </c>
    </row>
    <row r="3"/>
    <row r="5">
      <c r="B5" s="16" t="inlineStr">
        <is>
          <t>Pri</t>
        </is>
      </c>
      <c r="C5" s="16" t="inlineStr">
        <is>
          <t>Business Name</t>
        </is>
      </c>
      <c r="D5" s="16" t="inlineStr">
        <is>
          <t>Phone on file</t>
        </is>
      </c>
      <c r="E5" s="16" t="inlineStr">
        <is>
          <t>City</t>
        </is>
      </c>
      <c r="F5" s="16" t="inlineStr">
        <is>
          <t>Website</t>
        </is>
      </c>
      <c r="G5" s="16" t="inlineStr">
        <is>
          <t>What we found</t>
        </is>
      </c>
    </row>
    <row r="6">
      <c r="B6" s="7" t="inlineStr">
        <is>
          <t>A</t>
        </is>
      </c>
      <c r="C6" s="9" t="inlineStr">
        <is>
          <t>ABC Supply Co.</t>
        </is>
      </c>
      <c r="D6" s="9" t="inlineStr">
        <is>
          <t>(423) 553-1082</t>
        </is>
      </c>
      <c r="E6" s="9" t="inlineStr">
        <is>
          <t>Chattanooga</t>
        </is>
      </c>
      <c r="F6" s="9" t="inlineStr">
        <is>
          <t>abcsupply.com</t>
        </is>
      </c>
      <c r="G6" s="9" t="inlineStr">
        <is>
          <t>PHONE RE-CHECK 2026-09-04: UNCONFIRMED. abcsupply.com carries the branch (2225 Polymer Dr, Chattanooga TN 37421-2210, their branch #043) but the branch page would not load from this session, and no search of their own domain surfaced a local number - only corporate 800-226-1280. The (423) 553-1082 on file is therefore UNSOURCED; verify by phone before relying on it. NAMED CONTACT: Brandon Davis, branch manager, Chattanooga TN - from ABC Supply's own Q1 2023 manager-promotion release. Roofing/siding/window distributor: a branch delivery fleet of boom trucks and flatbeds, and their contractor customers are a second channel.</t>
        </is>
      </c>
    </row>
    <row r="7">
      <c r="B7" s="7" t="inlineStr">
        <is>
          <t>A</t>
        </is>
      </c>
      <c r="C7" s="9" t="inlineStr">
        <is>
          <t>ADI Pavement, LLC</t>
        </is>
      </c>
      <c r="D7" s="9" t="inlineStr">
        <is>
          <t>(423) 490-9981</t>
        </is>
      </c>
      <c r="E7" s="9" t="inlineStr">
        <is>
          <t>Chattanooga</t>
        </is>
      </c>
      <c r="F7" s="9" t="inlineStr">
        <is>
          <t>turnitblack.com</t>
        </is>
      </c>
      <c r="G7" s="9" t="inlineStr">
        <is>
          <t>PHONE RE-CHECK 2026-09-04: UNCONFIRMED. turnitblack.com is live - a concrete page describing roller-compacted concrete, stamped concrete and storm-water detention, and 30+ years self-performing technical work - but no phone number surfaces on their own domain and no street address either. The (423) 490-9981 on file is UNSOURCED. Paving and concrete fleet; the business is real, the number needs confirming.</t>
        </is>
      </c>
    </row>
    <row r="8">
      <c r="B8" s="7" t="inlineStr">
        <is>
          <t>A</t>
        </is>
      </c>
      <c r="C8" s="9" t="inlineStr">
        <is>
          <t>All Around Heating and Air</t>
        </is>
      </c>
      <c r="D8" s="9" t="inlineStr">
        <is>
          <t>(423) 760-1273</t>
        </is>
      </c>
      <c r="E8" s="9" t="inlineStr">
        <is>
          <t>Soddy-Daisy</t>
        </is>
      </c>
      <c r="F8" s="9" t="inlineStr">
        <is>
          <t>aaheatingandairtn.com</t>
        </is>
      </c>
      <c r="G8" s="9" t="inlineStr">
        <is>
          <t>PHONE RE-CHECK 2026-09-04: UNCONFIRMED - second pass agrees with the first. aaheatingandairtn.com is live with home and about pages confirming a Soddy-Daisy base serving greater Chattanooga, but publishes no address, phone or email. The (423) 760-1273 on file is UNSOURCED.</t>
        </is>
      </c>
    </row>
    <row r="9">
      <c r="B9" s="7" t="inlineStr">
        <is>
          <t>A</t>
        </is>
      </c>
      <c r="C9" s="9" t="inlineStr">
        <is>
          <t>Apex Electric Co., Inc.</t>
        </is>
      </c>
      <c r="D9" s="9" t="inlineStr">
        <is>
          <t>(423) 629-4343</t>
        </is>
      </c>
      <c r="E9" s="9" t="inlineStr">
        <is>
          <t>Chattanooga</t>
        </is>
      </c>
      <c r="F9" s="9" t="inlineStr">
        <is>
          <t>apexelectriccompany.com</t>
        </is>
      </c>
      <c r="G9" s="9" t="inlineStr">
        <is>
          <t>PHONE RE-CHECK 2026-09-04: UNCONFIRMED. apexelectriccompany.com is live - home, about, services and contact - and confirms an independent commercial and light-industrial electrical contractor in Chattanooga, but publishes no phone a search of their domain will surface. The (423) 629-4343 on file is UNSOURCED. The named contact does hold up: Joseph Pendergrass, office manager, joseph.pendergrass@gmail.com - a gmail address, but it is what they print, so email is the more reliable first approach here.</t>
        </is>
      </c>
    </row>
    <row r="10">
      <c r="B10" s="7" t="inlineStr">
        <is>
          <t>A</t>
        </is>
      </c>
      <c r="C10" s="9" t="inlineStr">
        <is>
          <t>Brogdon Construction</t>
        </is>
      </c>
      <c r="D10" s="9" t="inlineStr">
        <is>
          <t>(423) 710-6645</t>
        </is>
      </c>
      <c r="E10" s="9" t="inlineStr">
        <is>
          <t>Chattanooga</t>
        </is>
      </c>
      <c r="F10" s="9" t="inlineStr">
        <is>
          <t>brogdonconstruction.com</t>
        </is>
      </c>
      <c r="G10" s="9" t="inlineStr">
        <is>
          <t>PHONE RE-CHECK 2026-09-04: UNCONFIRMED. brogdonconstruction.com is live and detailed - land development, erosion control, grading, drainage, foundations, demolition, utility and sewer and septic installation, 15+ years, commercial industrial and municipal - and confirms the PO Box 15145, Chattanooga 37415 on file as the only address they publish. But no phone surfaces on their own domain; they push a request-a-quote form. The (423) 710-6645 is UNSOURCED. Excavators, dump trucks and float trailers; the business is solid, the number needs a check.</t>
        </is>
      </c>
    </row>
    <row r="11">
      <c r="B11" s="7" t="inlineStr">
        <is>
          <t>A</t>
        </is>
      </c>
      <c r="C11" s="9" t="inlineStr">
        <is>
          <t>Broome's Wrecker Service</t>
        </is>
      </c>
      <c r="D11" s="9" t="inlineStr">
        <is>
          <t>(423) 629-0253</t>
        </is>
      </c>
      <c r="E11" s="9" t="inlineStr">
        <is>
          <t>East Ridge</t>
        </is>
      </c>
      <c r="F11" s="9" t="n"/>
      <c r="G11" s="9" t="inlineStr">
        <is>
          <t>Recorded 2026-09-04 under the relaxed rule. No official website. One thing to know before extending terms: East Ridge towing practices were the subject of a TBI investigation reported by the Times Free Press and Local 3.</t>
        </is>
      </c>
    </row>
    <row r="12">
      <c r="B12" s="7" t="inlineStr">
        <is>
          <t>A</t>
        </is>
      </c>
      <c r="C12" s="9" t="inlineStr">
        <is>
          <t>CarMax Chattanooga</t>
        </is>
      </c>
      <c r="D12" s="9" t="inlineStr">
        <is>
          <t>(423) 414-3523</t>
        </is>
      </c>
      <c r="E12" s="9" t="inlineStr">
        <is>
          <t>Chattanooga</t>
        </is>
      </c>
      <c r="F12" s="9" t="inlineStr">
        <is>
          <t>carmax.com/stores/7186</t>
        </is>
      </c>
      <c r="G12" s="9" t="inlineStr">
        <is>
          <t>Phone kept but FLAGGED 2026-09-04. CarMax's own store page publishes no direct number - only a national text-support line on (833) 417-2815. The (423) 414-3523 in this row could not be confirmed or refuted. Their service and repair department runs 7:30-6 weekdays and is the department to reach.</t>
        </is>
      </c>
    </row>
    <row r="13">
      <c r="B13" s="7" t="inlineStr">
        <is>
          <t>A</t>
        </is>
      </c>
      <c r="C13" s="9" t="inlineStr">
        <is>
          <t>Chattanooga Automotive LLC</t>
        </is>
      </c>
      <c r="D13" s="9" t="inlineStr">
        <is>
          <t>(423) 800-5633</t>
        </is>
      </c>
      <c r="E13" s="9" t="inlineStr">
        <is>
          <t>Hixson</t>
        </is>
      </c>
      <c r="F13" s="9" t="n"/>
      <c r="G13" s="9" t="inlineStr">
        <is>
          <t>Gap-filled 2026-09-04 under the relaxed rule: no website, but findable on Google with a consistent number, so kept. Ask for Christian Hoeppner.</t>
        </is>
      </c>
    </row>
    <row r="14">
      <c r="B14" s="7" t="inlineStr">
        <is>
          <t>A</t>
        </is>
      </c>
      <c r="C14" s="9" t="inlineStr">
        <is>
          <t>City of Chattanooga - Public Works Dept. (Fleet Management Division)</t>
        </is>
      </c>
      <c r="D14" s="9" t="inlineStr">
        <is>
          <t>(423) 643-6311</t>
        </is>
      </c>
      <c r="E14" s="9" t="inlineStr">
        <is>
          <t>Chattanooga</t>
        </is>
      </c>
      <c r="F14" s="9" t="inlineStr">
        <is>
          <t>chattanooga.gov/government/public-works</t>
        </is>
      </c>
      <c r="G14" s="9" t="inlineStr">
        <is>
          <t>OFFICIAL SITE 2026-09-04: NAMED CONTACT FOUND - Kenneth Howell, Director of Fleet Management. The city site publishes no direct Fleet Division number (it routes everything through 311), so the (423) 643-6311 on file is UNCONFIRMED; the Mayor's Office switchboard at 101 E 11th St is (423) 643-7800 if you need a live transfer. IMPORTANT: the Fleet Division has been named one of North America's 100 Best Fleets more than once - a large, professionally run operation that buys on spec and keeps vendor records. Ask for Kenneth Howell's office by name rather than calling 311.</t>
        </is>
      </c>
    </row>
    <row r="15">
      <c r="B15" s="7" t="inlineStr">
        <is>
          <t>A</t>
        </is>
      </c>
      <c r="C15" s="9" t="inlineStr">
        <is>
          <t>Clean Sweep inc</t>
        </is>
      </c>
      <c r="D15" s="9" t="inlineStr">
        <is>
          <t>(423) 877-9192</t>
        </is>
      </c>
      <c r="E15" s="9" t="inlineStr">
        <is>
          <t>Chattanooga</t>
        </is>
      </c>
      <c r="F15" s="9" t="inlineStr">
        <is>
          <t>cleansweepinc.com</t>
        </is>
      </c>
      <c r="G15" s="9" t="inlineStr">
        <is>
          <t>PHONE RE-CHECK 2026-09-04: UNCONFIRMED. cleansweepinc.com is live and confirms the business - street sweeping for businesses and municipalities across Tennessee, Georgia and Alabama, plus road-construction cleanup and milling sweeping - and confirms they now operate as SWEEPING CORP OF AMERICA. But no phone surfaces on their own domain, so the (423) 877-9192 on file is UNSOURCED; the parent company may be the better route in. Street sweepers are a pure fleet business working construction zones, which is about as hard on glass as it gets. No address published.</t>
        </is>
      </c>
    </row>
    <row r="16">
      <c r="B16" s="7" t="inlineStr">
        <is>
          <t>A</t>
        </is>
      </c>
      <c r="C16" s="9" t="inlineStr">
        <is>
          <t>Competition Athletic Surfaces</t>
        </is>
      </c>
      <c r="D16" s="9" t="inlineStr">
        <is>
          <t>(423) 847-8330</t>
        </is>
      </c>
      <c r="E16" s="9" t="inlineStr">
        <is>
          <t>Chattanooga</t>
        </is>
      </c>
      <c r="F16" s="9" t="inlineStr">
        <is>
          <t>competitionathleticsurfaces.com</t>
        </is>
      </c>
      <c r="G16" s="9" t="inlineStr">
        <is>
          <t>PHONE RE-CHECK 2026-09-04: UNCONFIRMED. competitionathleticsurfaces.com is live and substantial but publishes no phone or street address a search of their domain will surface, so the (423) 847-8330 on file is UNSOURCED - though the 847 prefix being the Hixson exchange is at least consistent with a local number. THE BUSINESS IS SERIOUS: their own news pages cite three SEC schools, US Open tennis surfacing, the Chattanooga Lookouts warning track and the Manker Patten indoor courts. Tennis, pickleball, futsal, running tracks and synthetic turf across the southeast - southeast-wide travel with material trailers, so worth chasing the number down.</t>
        </is>
      </c>
    </row>
    <row r="17">
      <c r="B17" s="7" t="inlineStr">
        <is>
          <t>A</t>
        </is>
      </c>
      <c r="C17" s="9" t="inlineStr">
        <is>
          <t>Conley Towing</t>
        </is>
      </c>
      <c r="D17" s="9" t="inlineStr">
        <is>
          <t>(423) 842-7243</t>
        </is>
      </c>
      <c r="E17" s="9" t="inlineStr">
        <is>
          <t>Hixson</t>
        </is>
      </c>
      <c r="F17" s="9" t="inlineStr">
        <is>
          <t>conleywrecker.com</t>
        </is>
      </c>
      <c r="G17" s="9" t="inlineStr">
        <is>
          <t>PHONE RE-CHECK 2026-09-04: UNCONFIRMED, and the website on file looks dead. A search scoped to conleywrecker.com returned nothing at all, and the open fallback found no official site for them - every hit carrying (423) 842-7243 and 6714 Middle Valley Rd is a towing directory, which is not a source. So both the phone and the 09-03 website find are UNSOURCED. FEDERAL RECORD (not a directory): FMCSA SAFER lists USDOT 2877384 as CONLEY WRECKER SERVICE / TENNESSEE WRECKER / SPICER TOWING &amp; RECOVERY, registrant JAMES RATLEDGE - so this is one combined operation trading under three names, and the 09-03 note naming the owner as David Ratledge should be treated as unverified. Tennessee Wrecker's live site is mytnwrecker.com; that is the better door into the same fleet.</t>
        </is>
      </c>
    </row>
    <row r="18">
      <c r="B18" s="7" t="inlineStr">
        <is>
          <t>A</t>
        </is>
      </c>
      <c r="C18" s="9" t="inlineStr">
        <is>
          <t>Covenant Logistics Group</t>
        </is>
      </c>
      <c r="D18" s="9" t="inlineStr">
        <is>
          <t>(423) 821-1212</t>
        </is>
      </c>
      <c r="E18" s="9" t="inlineStr">
        <is>
          <t>Chattanooga</t>
        </is>
      </c>
      <c r="F18" s="9" t="inlineStr">
        <is>
          <t>covenantlogistics.com</t>
        </is>
      </c>
      <c r="G18" s="9" t="inlineStr">
        <is>
          <t>OFFICIAL SITE 2026-09-04: 400 Birmingham Hwy HQ confirmed (plus Hogan Hall driver training centre at 500 Birmingham Hwy). Their contact page publishes only a web form and an investor-relations line (423-463-3339) - no general number - so the (423) 821-1212 on file is UNCONFIRMED. Publicly traded carrier. DUPLICATE FOUND 2026-09-05: row 509, 'Covenant Trucking Inc', carries the SAME address, the SAME (423) 821-1212 and the SAME covenantlogistics.com - Covenant Trucking is the old trading name of this group. The two rows should be merged; do not work them as separate prospects.</t>
        </is>
      </c>
    </row>
    <row r="19">
      <c r="B19" s="7" t="inlineStr">
        <is>
          <t>A</t>
        </is>
      </c>
      <c r="C19" s="9" t="inlineStr">
        <is>
          <t>Covenant Trucking Inc</t>
        </is>
      </c>
      <c r="D19" s="9" t="inlineStr">
        <is>
          <t>(423) 821-1212</t>
        </is>
      </c>
      <c r="E19" s="9" t="inlineStr">
        <is>
          <t>Chattanooga</t>
        </is>
      </c>
      <c r="F19" s="9" t="inlineStr">
        <is>
          <t>covenantlogistics.com</t>
        </is>
      </c>
      <c r="G19" s="9" t="inlineStr">
        <is>
          <t>DUPLICATE 2026-09-05: this is the same company as row 40, 'Covenant Logistics Group' - same 400 Birmingham Highway, same (423) 821-1212, same covenantlogistics.com. Covenant Trucking is the group's older trading name. Merge into row 40 and do not call twice. The phone carries row 40's flag too: their own contact page publishes only a web form and an investor-relations line (423-463-3339), so 821-1212 is UNCONFIRMED.</t>
        </is>
      </c>
    </row>
    <row r="20">
      <c r="B20" s="7" t="inlineStr">
        <is>
          <t>A</t>
        </is>
      </c>
      <c r="C20" s="9" t="inlineStr">
        <is>
          <t>Denton's Wrecker Service</t>
        </is>
      </c>
      <c r="D20" s="9" t="inlineStr">
        <is>
          <t>(423) 892-9222</t>
        </is>
      </c>
      <c r="E20" s="9" t="inlineStr">
        <is>
          <t>Chattanooga</t>
        </is>
      </c>
      <c r="F20" s="9" t="n"/>
      <c r="G20" s="9" t="inlineStr">
        <is>
          <t>Recorded 2026-09-04 under the relaxed rule: findable on Google with a consistent phone, so kept even though there is no official website. Long-established - a community history post shows them at this address as far back as 1956. Heavy-duty wreckers, so a good fleet.</t>
        </is>
      </c>
    </row>
    <row r="21">
      <c r="B21" s="7" t="inlineStr">
        <is>
          <t>A</t>
        </is>
      </c>
      <c r="C21" s="9" t="inlineStr">
        <is>
          <t>Erwin Marine Sales</t>
        </is>
      </c>
      <c r="D21" s="9" t="inlineStr">
        <is>
          <t>(423) 622-1978</t>
        </is>
      </c>
      <c r="E21" s="9" t="inlineStr">
        <is>
          <t>Chattanooga</t>
        </is>
      </c>
      <c r="F21" s="9" t="inlineStr">
        <is>
          <t>erwinmarinesales.com</t>
        </is>
      </c>
      <c r="G21" s="9" t="inlineStr">
        <is>
          <t>PHONE RE-CHECK 2026-09-04: UNCONFIRMED. Three searches of erwinmarinesales.com - contact page, service page and both marina pages - surface no phone number at all; they route everything through a form. The (423) 622-1978 on file is UNSOURCED; verify before relying on it. Their site does confirm two Chattanooga sites: Chickamauga Marina (the 3001 Kings Point Rd service yard on this row) and Erwin Marine Riverfront downtown, part of five marinas across TN and AL. Boat haulers and yard trucks, plus the service department itself.</t>
        </is>
      </c>
    </row>
    <row r="22">
      <c r="B22" s="7" t="inlineStr">
        <is>
          <t>A</t>
        </is>
      </c>
      <c r="C22" s="9" t="inlineStr">
        <is>
          <t>Express Courier International, Inc.</t>
        </is>
      </c>
      <c r="D22" s="9" t="inlineStr">
        <is>
          <t>(423) 510-0271</t>
        </is>
      </c>
      <c r="E22" s="9" t="inlineStr">
        <is>
          <t>Chattanooga</t>
        </is>
      </c>
      <c r="F22" s="9" t="inlineStr">
        <is>
          <t>expresscourier.net</t>
        </is>
      </c>
      <c r="G22" s="9" t="inlineStr">
        <is>
          <t>PHONE RE-CHECK 2026-09-04: UNCONFIRMED, and the address is doubtful too. expresscourier.net publishes no Chattanooga terminal phone, address or email - only hr@expresscourier.net and general service pages - so the (423) 510-0271 on file is UNSOURCED. ADDRESS CONFLICT: this row's 2131 Polymer Dr is the same address Cintas publishes for its own Chattanooga branch (row 206, Suite 2131-A), and Cintas is the one whose site actually carries it. Treat 2131 Polymer Dr on this row as unverified. Same-day courier across ten states running owner-operator drivers - the drivers own the vans, which changes who buys the glass.</t>
        </is>
      </c>
    </row>
    <row r="23">
      <c r="B23" s="7" t="inlineStr">
        <is>
          <t>A</t>
        </is>
      </c>
      <c r="C23" s="9" t="inlineStr">
        <is>
          <t>First Student (Hamilton County Schools contractor)</t>
        </is>
      </c>
      <c r="D23" s="9" t="inlineStr">
        <is>
          <t>(423) 209-5680</t>
        </is>
      </c>
      <c r="E23" s="9" t="inlineStr">
        <is>
          <t>Chattanooga</t>
        </is>
      </c>
      <c r="F23" s="9" t="inlineStr">
        <is>
          <t>firststudentinc.com</t>
        </is>
      </c>
      <c r="G23" s="9" t="inlineStr">
        <is>
          <t>OFFICIAL SITE 2026-09-04: 2501 Dodds Ave confirmed as an active First Student location (current Chattanooga driver postings are advertised at that address). Their site publishes NO local number - only corporate 513-362-4600 - so the (423) 209-5680 on file is UNCONFIRMED. School-bus contractor: a large bus fleet with flat laminated windshields, and glass work is scheduled through the terminal manager at Dodds Ave, not corporate.</t>
        </is>
      </c>
    </row>
    <row r="24">
      <c r="B24" s="7" t="inlineStr">
        <is>
          <t>A</t>
        </is>
      </c>
      <c r="C24" s="9" t="inlineStr">
        <is>
          <t>Grease Fellas</t>
        </is>
      </c>
      <c r="D24" s="9" t="inlineStr">
        <is>
          <t>(423) 508-4043</t>
        </is>
      </c>
      <c r="E24" s="9" t="inlineStr">
        <is>
          <t>Chattanooga</t>
        </is>
      </c>
      <c r="F24" s="9" t="inlineStr">
        <is>
          <t>greasefellas.com</t>
        </is>
      </c>
      <c r="G24" s="9" t="inlineStr">
        <is>
          <t>PHONE RE-CHECK 2026-09-04: UNCONFIRMED. greasefellas.com is live with a full service, city and industry page set (restaurants, grocery stores, churches) and offers 24/7 emergency service, but no phone number surfaces on any page of their own domain - they push a free-quote form. The (423) 508-4043 on file is UNSOURCED. CAUTION STANDS on the email: matt@flushfellas.com is a different domain from greasefellas.com, and their site also carries a septic-services page, so the two brands do look like one owner - confirm on the call. Pump trucks.</t>
        </is>
      </c>
    </row>
    <row r="25">
      <c r="B25" s="7" t="inlineStr">
        <is>
          <t>A</t>
        </is>
      </c>
      <c r="C25" s="9" t="inlineStr">
        <is>
          <t>Gudel's Garage and Towing</t>
        </is>
      </c>
      <c r="D25" s="9" t="inlineStr">
        <is>
          <t>(423) 842-8010</t>
        </is>
      </c>
      <c r="E25" s="9" t="inlineStr">
        <is>
          <t>Hixson</t>
        </is>
      </c>
      <c r="F25" s="9" t="inlineStr">
        <is>
          <t>gudelsgarageandtowing.com</t>
        </is>
      </c>
      <c r="G25" s="9" t="inlineStr">
        <is>
          <t>PHONE RE-CHECK 2026-09-04: UNCONFIRMED. gudelsgarageandtowing.com is live but two searches of it surface no phone number, so neither the (423) 842-8010 on file nor the 423-842-5277 from the 09-03 note has an official source - try both on the call. THEIR SITE ALSO CONTRADICTS THE ROW TWICE: it says the family built the garage on HIXSON PIKE, not the 6403 Middle Valley Rd on file, and dates it to 1981 rather than the 1979 in the earlier note. Treat the address as unverified. They run Gudel's Garage and Gudel's Body Shop together as one stop, 24/7 emergency towing - garage, body shop and wreckers is three fleets at one family business.</t>
        </is>
      </c>
    </row>
    <row r="26">
      <c r="B26" s="7" t="inlineStr">
        <is>
          <t>A</t>
        </is>
      </c>
      <c r="C26" s="9" t="inlineStr">
        <is>
          <t>HEP Is On The Way</t>
        </is>
      </c>
      <c r="D26" s="9" t="inlineStr">
        <is>
          <t>(423) 397-7772</t>
        </is>
      </c>
      <c r="E26" s="9" t="inlineStr">
        <is>
          <t>Hixson</t>
        </is>
      </c>
      <c r="F26" s="9" t="inlineStr">
        <is>
          <t>hepisontheway.com</t>
        </is>
      </c>
      <c r="G26" s="9" t="inlineStr">
        <is>
          <t>PHONE RE-CHECK 2026-09-04: UNCONFIRMED - second pass agrees with the first. hepisontheway.com carries a Hixson location page and full Chattanooga service pages for plumbing, electrical, HVAC and roofing with 24/7 emergency work, but publishes no local address or phone anywhere searchable. The (423) 397-7772 on file is UNSOURCED. Multi-market operator (Chattanooga, Knoxville, Cleveland) - a large van fleet if you can reach the right branch.</t>
        </is>
      </c>
    </row>
    <row r="27">
      <c r="B27" s="7" t="inlineStr">
        <is>
          <t>A</t>
        </is>
      </c>
      <c r="C27" s="9" t="inlineStr">
        <is>
          <t>Integrated Builds, LLC</t>
        </is>
      </c>
      <c r="D27" s="9" t="inlineStr">
        <is>
          <t>(423) 643-8448</t>
        </is>
      </c>
      <c r="E27" s="9" t="inlineStr">
        <is>
          <t>Chattanooga</t>
        </is>
      </c>
      <c r="F27" s="9" t="inlineStr">
        <is>
          <t>integratedbuilds.com</t>
        </is>
      </c>
      <c r="G27" s="9" t="inlineStr">
        <is>
          <t>PHONE RE-CHECK 2026-09-04: UNCONFIRMED. integratedbuilds.com is live with contact, about and portfolio pages - Brainerd Baptist Church and School, Blue Ridge Pool and Splashpad, a new pharmacy build - but publishes no phone a search of their domain will surface, so the (423) 643-8448 on file is UNSOURCED. jclinard@integratedbuilds.com holds and is the better first approach. THE EARLIER STEER IS CONFIRMED: their own strapline is 'Three Companies. One Family', so ask what else the group owns - it may be three fleets, not one.</t>
        </is>
      </c>
    </row>
    <row r="28">
      <c r="B28" s="7" t="inlineStr">
        <is>
          <t>A</t>
        </is>
      </c>
      <c r="C28" s="9" t="inlineStr">
        <is>
          <t>Integrity Buick GMC Cadillac</t>
        </is>
      </c>
      <c r="D28" s="9" t="inlineStr">
        <is>
          <t>(423) 855-0550</t>
        </is>
      </c>
      <c r="E28" s="9" t="inlineStr">
        <is>
          <t>Chattanooga</t>
        </is>
      </c>
      <c r="F28" s="9" t="inlineStr">
        <is>
          <t>integrityofchattanooga.com</t>
        </is>
      </c>
      <c r="G28" s="9" t="inlineStr">
        <is>
          <t>Phone kept but FLAGGED 2026-09-04. The row holds (423) 855-0550, a local number their own site no longer publishes - it now lists only toll-free lines. The local number is more useful so it stays; if it fails, service is 877-885-9706.</t>
        </is>
      </c>
    </row>
    <row r="29">
      <c r="B29" s="7" t="inlineStr">
        <is>
          <t>A</t>
        </is>
      </c>
      <c r="C29" s="9" t="inlineStr">
        <is>
          <t>JM Specialties, Inc.</t>
        </is>
      </c>
      <c r="D29" s="9" t="inlineStr">
        <is>
          <t>(423) 219-5317</t>
        </is>
      </c>
      <c r="E29" s="9" t="inlineStr">
        <is>
          <t>Chattanooga</t>
        </is>
      </c>
      <c r="F29" s="9" t="inlineStr">
        <is>
          <t>jmspecialtiesinc.com</t>
        </is>
      </c>
      <c r="G29" s="9" t="inlineStr">
        <is>
          <t>PHONE RE-CHECK 2026-09-04: UNCONFIRMED. jmspecialtiesinc.com publishes no phone on any page a search of their domain reaches - they route through a request-service form - so neither the (423) 219-5317 on file nor the 423-624-6563 commercial line from the earlier note has an official source. Try both. OWNERSHIP FOUND: their about page says JM Specialties is now a DIVISION OF GUARDIAN ACCESS SOLUTIONS, which may be the better route in. In the trade since 1963: commercial and residential overhead doors, high-speed doors, loading dock equipment, security gates and grilles, with 24/7 emergency service across Chattanooga and Cleveland TN.</t>
        </is>
      </c>
    </row>
    <row r="30">
      <c r="B30" s="7" t="inlineStr">
        <is>
          <t>A</t>
        </is>
      </c>
      <c r="C30" s="9" t="inlineStr">
        <is>
          <t>L H Lewis Tree Service</t>
        </is>
      </c>
      <c r="D30" s="9" t="inlineStr">
        <is>
          <t>(423) 843-3593</t>
        </is>
      </c>
      <c r="E30" s="9" t="inlineStr">
        <is>
          <t>Soddy-Daisy</t>
        </is>
      </c>
      <c r="F30" s="9" t="inlineStr">
        <is>
          <t>lhlewistreeservice.com</t>
        </is>
      </c>
      <c r="G30" s="9" t="inlineStr">
        <is>
          <t>PHONE RE-CHECK 2026-09-04: UNCONFIRMED. lhlewistreeservice.com resolves but two searches of it surface nothing beyond the bare home page - no phone, address or email. The 09-03 details came off a business-run social page rather than the website, so the (423) 843-3593, the 8307 Dayton Pike address and the gmail address are all UNSOURCED by any official page. Tree work means bucket trucks and chippers, so the lead is worth a call to confirm rather than dropping.</t>
        </is>
      </c>
    </row>
    <row r="31">
      <c r="B31" s="7" t="inlineStr">
        <is>
          <t>A</t>
        </is>
      </c>
      <c r="C31" s="9" t="inlineStr">
        <is>
          <t>Landscape Workshop - Chattanooga Branch</t>
        </is>
      </c>
      <c r="D31" s="9" t="inlineStr">
        <is>
          <t>(423) 899-1212</t>
        </is>
      </c>
      <c r="E31" s="9" t="inlineStr">
        <is>
          <t>Chattanooga</t>
        </is>
      </c>
      <c r="F31" s="9" t="inlineStr">
        <is>
          <t>landscapeworkshop.com</t>
        </is>
      </c>
      <c r="G31" s="9" t="inlineStr">
        <is>
          <t>PHONE RE-CHECK 2026-09-04: UNCONFIRMED. landscapeworkshop.com carries the Chattanooga branch at 3903 Volunteer Dr Ste B 37416, but it publishes no branch-level phone anywhere searchable on their own domain - only the Birmingham AL head office, (205) 547-3945, at 550 Montgomery Hwy Ste 200. The (423) 899-1212 on file is UNSOURCED; verify by phone. Route through the head office if the local line is dead. This branch is the former Images Landscape Service, acquired by Landscape Workshop in 2021 - a commercial crew fleet of trucks and trailers.</t>
        </is>
      </c>
    </row>
    <row r="32">
      <c r="B32" s="7" t="inlineStr">
        <is>
          <t>A</t>
        </is>
      </c>
      <c r="C32" s="9" t="inlineStr">
        <is>
          <t>Loomis Armored US, LLC</t>
        </is>
      </c>
      <c r="D32" s="9" t="inlineStr">
        <is>
          <t>(423) 622-6043</t>
        </is>
      </c>
      <c r="E32" s="9" t="inlineStr">
        <is>
          <t>Chattanooga</t>
        </is>
      </c>
      <c r="F32" s="9" t="inlineStr">
        <is>
          <t>loomis.us</t>
        </is>
      </c>
      <c r="G32" s="9" t="inlineStr">
        <is>
          <t>PHONE RE-CHECK 2026-09-04: UNCONFIRMED. loomis.us runs its locations page as a map search that publishes no branch numbers, and two searches of their domain surface only the national Customer Contact Center, 877-877-0560 (6:30-23:30 CT daily). The (423) 622-6043 on file is UNSOURCED; call the 877 line and ask for the Chattanooga branch. Nearly 200 US operating locations. Armored trucks - heavy, hard-used, ballistic glazing on the trucks themselves, so the prize here is their soft-skin support vehicles rather than the armoured fleet.</t>
        </is>
      </c>
    </row>
    <row r="33">
      <c r="B33" s="7" t="inlineStr">
        <is>
          <t>A</t>
        </is>
      </c>
      <c r="C33" s="9" t="inlineStr">
        <is>
          <t>Manzano Masonry</t>
        </is>
      </c>
      <c r="D33" s="9" t="inlineStr">
        <is>
          <t>(423) 298-8859</t>
        </is>
      </c>
      <c r="E33" s="9" t="inlineStr">
        <is>
          <t>Soddy-Daisy</t>
        </is>
      </c>
      <c r="F33" s="9" t="inlineStr">
        <is>
          <t>manzanomasonry.com</t>
        </is>
      </c>
      <c r="G33" s="9" t="inlineStr">
        <is>
          <t>PHONE RE-CHECK 2026-09-04: UNCONFIRMED, and the county is wrong. manzanomasonry.com publishes no phone number on any page reachable by search, so the (423) 298-8859 is UNSOURCED. Their own about page places Manzano Masonry Group LLC in DAYTON, TN - Rhea County - and lists Soddy-Daisy only as a SERVICE AREA alongside Dayton and Decatur, so the 124 Harrison Ln, Soddy-Daisy address on this row is not a location they claim. FLAG FOR OUT-OF-COUNTY REVIEW: on their own account this is a Rhea County business working into Hamilton, not a Hamilton County one. Family-owned; retaining walls, custom fireplaces and historic restoration.</t>
        </is>
      </c>
    </row>
    <row r="34">
      <c r="B34" s="7" t="inlineStr">
        <is>
          <t>A</t>
        </is>
      </c>
      <c r="C34" s="9" t="inlineStr">
        <is>
          <t>McKee Foods Transportation LLC</t>
        </is>
      </c>
      <c r="D34" s="9" t="inlineStr">
        <is>
          <t>(423) 238-7111</t>
        </is>
      </c>
      <c r="E34" s="9" t="inlineStr">
        <is>
          <t>Collegedale</t>
        </is>
      </c>
      <c r="F34" s="9" t="n"/>
      <c r="G34" s="9" t="inlineStr">
        <is>
          <t>Recorded 2026-09-04 under the relaxed rule. The subsidiary has no site of its own; this is the McKee Foods corporate line - ask for transportation. The fleet size is the point: this is one of the largest private fleets in the county.</t>
        </is>
      </c>
    </row>
    <row r="35">
      <c r="B35" s="7" t="inlineStr">
        <is>
          <t>A</t>
        </is>
      </c>
      <c r="C35" s="9" t="inlineStr">
        <is>
          <t>MORGAN CONSTRUCTION COMPANY</t>
        </is>
      </c>
      <c r="D35" s="9" t="inlineStr">
        <is>
          <t>(423) 266-6218</t>
        </is>
      </c>
      <c r="E35" s="9" t="inlineStr">
        <is>
          <t>Chattanooga</t>
        </is>
      </c>
      <c r="F35" s="9" t="inlineStr">
        <is>
          <t>morganconstruction.com</t>
        </is>
      </c>
      <c r="G35" s="9" t="inlineStr">
        <is>
          <t>PHONE RE-CHECK 2026-09-04: UNCONFIRMED. morganconstruction.com re-confirms the address, 690 Manufacturers Rd Suite 100, 37405, but publishes no phone number a search of their domain will surface, so the (423) 266-6218 on file is UNSOURCED. Their markets pages are broad - education and municipal, healthcare and senior living, hospitality and multifamily, office adaptive reuse, retail and grocery - which is consistent with the 40-year multi-state GC in the earlier note and means superintendent trucks travelling constantly. Bids go through their Bid Information page; no email published. The Wes Bonds steer did not resurface this time, so treat that name as unconfirmed too.</t>
        </is>
      </c>
    </row>
    <row r="36">
      <c r="B36" s="7" t="inlineStr">
        <is>
          <t>A</t>
        </is>
      </c>
      <c r="C36" s="9" t="inlineStr">
        <is>
          <t>Mountain City Service, Inc. (HVAC &amp; Plumbing)</t>
        </is>
      </c>
      <c r="D36" s="9" t="inlineStr">
        <is>
          <t>(423) 801-1016</t>
        </is>
      </c>
      <c r="E36" s="9" t="inlineStr">
        <is>
          <t>Signal Mountain</t>
        </is>
      </c>
      <c r="F36" s="9" t="inlineStr">
        <is>
          <t>mountaincityservice.com</t>
        </is>
      </c>
      <c r="G36" s="9" t="inlineStr">
        <is>
          <t>WEBSITE CORRECTED 2026-09-04: the row pointed at a Facebook page. Their real site is mountaincityservice.com - it carries a Signal Mountain HVAC page, a commercial plumbing division and HVAC service-area pages out to Jasper and Kimball, describing them as a full mechanical and plumbing contractor across southeast Tennessee and north Georgia with 24/7 emergency service. PHONE STILL UNCONFIRMED: even their own site does not surface a number to search, so the (423) 801-1016 on file remains UNSOURCED - but the business is now solidly verified, which it was not before. Incorporated 2002 by David Broome and David Smith (per third-party records, so treat the names as a lead, not a fact).</t>
        </is>
      </c>
    </row>
    <row r="37">
      <c r="B37" s="7" t="inlineStr">
        <is>
          <t>A</t>
        </is>
      </c>
      <c r="C37" s="9" t="inlineStr">
        <is>
          <t>Nooga Door Company</t>
        </is>
      </c>
      <c r="D37" s="9" t="inlineStr">
        <is>
          <t>(423) 842-5098</t>
        </is>
      </c>
      <c r="E37" s="9" t="inlineStr">
        <is>
          <t>Soddy-Daisy</t>
        </is>
      </c>
      <c r="F37" s="9" t="n"/>
      <c r="G37" s="9" t="inlineStr">
        <is>
          <t>Gap-filled 2026-09-04: open Google search found no official website. Directories put them at 8857 Dayton Pike doing garage door service, which matches the row. Phone unconfirmed by any official source.</t>
        </is>
      </c>
    </row>
    <row r="38">
      <c r="B38" s="7" t="inlineStr">
        <is>
          <t>A</t>
        </is>
      </c>
      <c r="C38" s="9" t="inlineStr">
        <is>
          <t>Nooga Lawn and Landscaping</t>
        </is>
      </c>
      <c r="D38" s="9" t="inlineStr">
        <is>
          <t>(423) 637-6874</t>
        </is>
      </c>
      <c r="E38" s="9" t="inlineStr">
        <is>
          <t>Soddy-Daisy</t>
        </is>
      </c>
      <c r="F38" s="9" t="n"/>
      <c r="G38" s="9" t="inlineStr">
        <is>
          <t>Gap-filled 2026-09-04: open Google search found no official website. Directories describe hardscapes, lighting, patios, retaining walls and an irrigation crew out of 8414 Gulf View Dr, which matches the row, but none of it is self-published. Phone unconfirmed.</t>
        </is>
      </c>
    </row>
    <row r="39">
      <c r="B39" s="7" t="inlineStr">
        <is>
          <t>A</t>
        </is>
      </c>
      <c r="C39" s="9" t="inlineStr">
        <is>
          <t>Parman Energy Group, LLC</t>
        </is>
      </c>
      <c r="D39" s="9" t="inlineStr">
        <is>
          <t>(423) 629-3888</t>
        </is>
      </c>
      <c r="E39" s="9" t="inlineStr">
        <is>
          <t>Chattanooga</t>
        </is>
      </c>
      <c r="F39" s="9" t="inlineStr">
        <is>
          <t>parmanenergy.com</t>
        </is>
      </c>
      <c r="G39" s="9" t="inlineStr">
        <is>
          <t>PHONE RE-CHECK 2026-09-04: UNCONFIRMED. Three searches of parmanenergy.com surface no Chattanooga branch at all - no 1110 Stuart St page and no 423 number - only the Nashville HQ at 7101 Cockrill Bend Blvd on (800) 727-7920. The (423) 629-3888 on file is UNSOURCED; call the 800 line and ask for the Chattanooga terminal before relying on it. Their contact page also renders under the title 'All Seasons P.H.E., Inc.', so the site is carrying another entity's page - treat anything read off it with care. Bulk fuel and lubricant distributor: if the terminal is real it runs tankers and lube trucks.</t>
        </is>
      </c>
    </row>
    <row r="40">
      <c r="B40" s="7" t="inlineStr">
        <is>
          <t>A</t>
        </is>
      </c>
      <c r="C40" s="9" t="inlineStr">
        <is>
          <t>PGC LLC</t>
        </is>
      </c>
      <c r="D40" s="9" t="inlineStr">
        <is>
          <t>(423) 755-0845</t>
        </is>
      </c>
      <c r="E40" s="9" t="inlineStr">
        <is>
          <t>Chattanooga</t>
        </is>
      </c>
      <c r="F40" s="9" t="inlineStr">
        <is>
          <t>pointegc.com</t>
        </is>
      </c>
      <c r="G40" s="9" t="inlineStr">
        <is>
          <t>PHONE RE-CHECK 2026-09-04: UNCONFIRMED - AND THIS ROW IS A DUPLICATE. pointegc.com confirms Pointe General Contractors as a full-service GC headquartered in Chattanooga, but publishes no phone anywhere searchable, so the (423) 755-0845 is UNSOURCED. THAT IS THE SAME NUMBER AND THE SAME COMPANY AS ROW 67, 'Pointe General Contractors LLC', which was flagged UNCONFIRMED on 09-04 for exactly the same reason - PGC is simply their initials. The two rows should be merged; do not call twice. The 09-03 address call (Pointe Centre Drive over the record's 1300 Premier Drive) stands, and their Vendor/Bid Opportunities page remains the practical way in for a supplier.</t>
        </is>
      </c>
    </row>
    <row r="41">
      <c r="B41" s="7" t="inlineStr">
        <is>
          <t>A</t>
        </is>
      </c>
      <c r="C41" s="9" t="inlineStr">
        <is>
          <t>Pointe General Contractors LLC</t>
        </is>
      </c>
      <c r="D41" s="9" t="inlineStr">
        <is>
          <t>(423) 755-0845</t>
        </is>
      </c>
      <c r="E41" s="9" t="inlineStr">
        <is>
          <t>Chattanooga</t>
        </is>
      </c>
      <c r="F41" s="9" t="inlineStr">
        <is>
          <t>pointegeneralcontractors.com</t>
        </is>
      </c>
      <c r="G41" s="9" t="inlineStr">
        <is>
          <t>OFFICIAL SITE 2026-09-04: site is live (home, about, projects and a vendor/bid page) but publishes NO phone number anywhere - only a form. The (423) 755-0845 on file is UNCONFIRMED; verify by phone. Their Vendor/Bids page is the practical way in: they solicit subcontractors directly through it. DUPLICATE FOUND 2026-09-05: row 611, 'PGC LLC' on pointegc.com, is THIS SAME COMPANY - same (423) 755-0845, same GC, PGC being simply their initials, and it publishes no phone either. They run two domains: pointegeneralcontractors.com and pointegc.com. The two rows should be merged; do not call twice.</t>
        </is>
      </c>
    </row>
    <row r="42">
      <c r="B42" s="7" t="inlineStr">
        <is>
          <t>A</t>
        </is>
      </c>
      <c r="C42" s="9" t="inlineStr">
        <is>
          <t>Ray's Towing Service</t>
        </is>
      </c>
      <c r="D42" s="9" t="inlineStr">
        <is>
          <t>(423) 875-6694</t>
        </is>
      </c>
      <c r="E42" s="9" t="inlineStr">
        <is>
          <t>Red Bank</t>
        </is>
      </c>
      <c r="F42" s="9" t="n"/>
      <c r="G42" s="9" t="inlineStr">
        <is>
          <t>Recorded 2026-09-04 under the relaxed rule. No official website - do not confuse with raystowing615.wixsite.com, which is a different Ray's Towing in Nashville on a 615 number. In business 30+ years; towing, roadside, lockouts, winch-outs.</t>
        </is>
      </c>
    </row>
    <row r="43">
      <c r="B43" s="7" t="inlineStr">
        <is>
          <t>A</t>
        </is>
      </c>
      <c r="C43" s="9" t="inlineStr">
        <is>
          <t>Red Bank Electric</t>
        </is>
      </c>
      <c r="D43" s="9" t="inlineStr">
        <is>
          <t>(423) 870-2625</t>
        </is>
      </c>
      <c r="E43" s="9" t="inlineStr">
        <is>
          <t>Red Bank</t>
        </is>
      </c>
      <c r="F43" s="9" t="n"/>
      <c r="G43" s="9" t="inlineStr">
        <is>
          <t>Recorded 2026-09-04 under the relaxed rule. No official website. Ask for Ronnie Lamb. Covers most of the county - Hixson, Ooltewah, Harrison, Signal Mountain, Soddy Daisy, East Ridge and more - so the vans cover real miles.</t>
        </is>
      </c>
    </row>
    <row r="44">
      <c r="B44" s="7" t="inlineStr">
        <is>
          <t>A</t>
        </is>
      </c>
      <c r="C44" s="9" t="inlineStr">
        <is>
          <t>Repair Pros Services, Inc.</t>
        </is>
      </c>
      <c r="D44" s="9" t="inlineStr">
        <is>
          <t>(423) 290-4946</t>
        </is>
      </c>
      <c r="E44" s="9" t="inlineStr">
        <is>
          <t>Chattanooga</t>
        </is>
      </c>
      <c r="F44" s="9" t="inlineStr">
        <is>
          <t>repairprosservices.com</t>
        </is>
      </c>
      <c r="G44" s="9" t="inlineStr">
        <is>
          <t>PHONE RE-CHECK 2026-09-04: UNCONFIRMED. repairprosservices.com is live and clearly active - a running blog through 2026 on walk-in coolers, ice machines and commercial HVAC - but publishes no phone number a search of their domain will surface, and no street address. The (423) 290-4946 on file is UNSOURCED. The business itself is not in doubt: full-service restaurant equipment, commercial refrigeration and HVAC across Chattanooga, with techs driving between accounts all day.</t>
        </is>
      </c>
    </row>
    <row r="45">
      <c r="B45" s="7" t="inlineStr">
        <is>
          <t>A</t>
        </is>
      </c>
      <c r="C45" s="9" t="inlineStr">
        <is>
          <t>Rytech Restoration of Greater Chattanooga</t>
        </is>
      </c>
      <c r="D45" s="9" t="inlineStr">
        <is>
          <t>(423) 896-2808</t>
        </is>
      </c>
      <c r="E45" s="9" t="inlineStr">
        <is>
          <t>Ooltewah</t>
        </is>
      </c>
      <c r="F45" s="9" t="inlineStr">
        <is>
          <t>chattanooga.rytechinc.com</t>
        </is>
      </c>
      <c r="G45" s="9" t="inlineStr">
        <is>
          <t>OFFICIAL SITE: phone (423) 896-2808 RE-CONFIRMED 2026-09-04 - it is published in their own page titles. Their site does not publish the Factory St address, so that line is unconfirmed. 24/7 water, fire and mould restoration covering Chattanooga and NW Georgia, Birchwood and Apison - a van fleet running emergency calls at all hours.</t>
        </is>
      </c>
    </row>
    <row r="46">
      <c r="B46" s="7" t="inlineStr">
        <is>
          <t>A</t>
        </is>
      </c>
      <c r="C46" s="9" t="inlineStr">
        <is>
          <t>S &amp; H Tree Service</t>
        </is>
      </c>
      <c r="D46" s="9" t="inlineStr">
        <is>
          <t>(423) 451-0437</t>
        </is>
      </c>
      <c r="E46" s="9" t="inlineStr">
        <is>
          <t>Soddy-Daisy</t>
        </is>
      </c>
      <c r="F46" s="9" t="n"/>
      <c r="G46" s="9" t="inlineStr">
        <is>
          <t>Gap-filled 2026-09-04: open Google search found no official website - the results are crowded with other Soddy-Daisy tree companies, none of them this one. Phone and address on the row remain unconfirmed.</t>
        </is>
      </c>
    </row>
    <row r="47">
      <c r="B47" s="7" t="inlineStr">
        <is>
          <t>A</t>
        </is>
      </c>
      <c r="C47" s="9" t="inlineStr">
        <is>
          <t>Snider Fleet Solutions</t>
        </is>
      </c>
      <c r="D47" s="9" t="inlineStr">
        <is>
          <t>(423) 352-9150</t>
        </is>
      </c>
      <c r="E47" s="9" t="inlineStr">
        <is>
          <t>Chattanooga</t>
        </is>
      </c>
      <c r="F47" s="9" t="inlineStr">
        <is>
          <t>sniderfleet.com</t>
        </is>
      </c>
      <c r="G47" s="9" t="inlineStr">
        <is>
          <t>OFFICIAL SITE 2026-09-04: 6114 Bonny Oaks Dr and hours Mon-Fri 7:30-17:00 confirmed, but their location page publishes NO direct local number - only corporate 800-528-2840 and 24/7 roadside 1-877-8SNIDER. The (423) 352-9150 on file is therefore UNCONFIRMED; verify by phone before relying on it. Commercial tire and mechanical service branch - a fleet-service peer worth a reciprocal-referral conversation.</t>
        </is>
      </c>
    </row>
    <row r="48">
      <c r="B48" s="7" t="inlineStr">
        <is>
          <t>A</t>
        </is>
      </c>
      <c r="C48" s="9" t="inlineStr">
        <is>
          <t>Southern Energy Water &amp; Air, LLC</t>
        </is>
      </c>
      <c r="D48" s="9" t="inlineStr">
        <is>
          <t>(423) 800-5902</t>
        </is>
      </c>
      <c r="E48" s="9" t="inlineStr">
        <is>
          <t>Chattanooga</t>
        </is>
      </c>
      <c r="F48" s="9" t="inlineStr">
        <is>
          <t>southernewa.com</t>
        </is>
      </c>
      <c r="G48" s="9" t="inlineStr">
        <is>
          <t>PHONE RE-CHECK 2026-09-04: UNCONFIRMED. southernewa.com is live and detailed - HVAC, plumbing, water heaters, water and air purification, solar - but publishes no phone a search of their domain will surface, so the (423) 800-5902 on file is UNSOURCED. TWO MARKETS CONFIRMED: they run a dedicated KNOXVILLE page alongside Chattanooga, so service vans cover both, which strengthens the lead once the number is verified. Still no street address on the site, so the record's 949 Taft Avenue stays off - and note the earlier caution that MEG Controls uses the same building.</t>
        </is>
      </c>
    </row>
    <row r="49">
      <c r="B49" s="7" t="inlineStr">
        <is>
          <t>A</t>
        </is>
      </c>
      <c r="C49" s="9" t="inlineStr">
        <is>
          <t>Southern Spear Ironworks LLC</t>
        </is>
      </c>
      <c r="D49" s="9" t="inlineStr">
        <is>
          <t>(423) 498-2862</t>
        </is>
      </c>
      <c r="E49" s="9" t="inlineStr">
        <is>
          <t>Chattanooga</t>
        </is>
      </c>
      <c r="F49" s="9" t="inlineStr">
        <is>
          <t>thesouthernspear.com</t>
        </is>
      </c>
      <c r="G49" s="9" t="inlineStr">
        <is>
          <t>OFFICIAL SITE 2026-09-04: phone (423) 498-2862 and address 55 Workman Road 37410 RE-CONFIRMED, plus a SECOND LINE, 423-667-8063. NAMED CONTACT DIFFERS FROM THE EARLIER NOTE: this pass surfaces Sean@SOUTHERNSPEAR.COM - note that email domain drops the 'the' from the website, thesouthernspear.com, but both are theirs. The bids@thesouthernspear.com on file still reaches estimating; treat Nick Crumley from the 09-03 note as unconfirmed and ask for Sean. Their project list backs the reach: McMurdo ALASKA, Dalton State College, the Red Wolves pro soccer stadium and Hanger Cleveland. Steel fabrication plus erection crews and 3D laser scanning - flatbeds, boom trucks and crew pickups. Still one of the strongest leads left.</t>
        </is>
      </c>
    </row>
    <row r="50">
      <c r="B50" s="7" t="inlineStr">
        <is>
          <t>A</t>
        </is>
      </c>
      <c r="C50" s="9" t="inlineStr">
        <is>
          <t>Stanley Excavation And Grading</t>
        </is>
      </c>
      <c r="D50" s="9" t="inlineStr">
        <is>
          <t>(423) 413-7176</t>
        </is>
      </c>
      <c r="E50" s="9" t="inlineStr">
        <is>
          <t>Chattanooga</t>
        </is>
      </c>
      <c r="F50" s="9" t="inlineStr">
        <is>
          <t>stanleyexcavationgrading.com</t>
        </is>
      </c>
      <c r="G50" s="9" t="inlineStr">
        <is>
          <t>PHONE RE-CHECK 2026-09-04: UNCONFIRMED. stanleyexcavationgrading.com is live with real service pages - land clearing, grading, site prep, basements and footers, erosion control, storm-water drainage - but publishes no phone or street address a search of their domain will surface, so the (423) 413-7176 on file is UNSOURCED and the record's 1004 East 10th Street stays off. Heavy-equipment work: dump trucks, lowboys hauling machines and crew pickups on rough sites. Worth chasing the number rather than dropping the lead.</t>
        </is>
      </c>
    </row>
    <row r="51">
      <c r="B51" s="7" t="inlineStr">
        <is>
          <t>A</t>
        </is>
      </c>
      <c r="C51" s="9" t="inlineStr">
        <is>
          <t>Tennessee Valley Excavation</t>
        </is>
      </c>
      <c r="D51" s="9" t="inlineStr">
        <is>
          <t>(423) 693-8558</t>
        </is>
      </c>
      <c r="E51" s="9" t="inlineStr">
        <is>
          <t>Ooltewah</t>
        </is>
      </c>
      <c r="F51" s="9" t="n"/>
      <c r="G51" s="9" t="inlineStr">
        <is>
          <t>Recorded 2026-09-04 under the relaxed rule, but no phone could be found on Google at all - address only. Note the name appears as both Excavation and Excavating, and there is a similarly named firm in Seymour TN, so confirm which one you have.</t>
        </is>
      </c>
    </row>
    <row r="52">
      <c r="B52" s="7" t="inlineStr">
        <is>
          <t>A</t>
        </is>
      </c>
      <c r="C52" s="9" t="inlineStr">
        <is>
          <t>Tennessee Valley Protective Services (TVPS)</t>
        </is>
      </c>
      <c r="D52" s="9" t="inlineStr">
        <is>
          <t>(423) 401-0438</t>
        </is>
      </c>
      <c r="E52" s="9" t="inlineStr">
        <is>
          <t>Chattanooga</t>
        </is>
      </c>
      <c r="F52" s="9" t="inlineStr">
        <is>
          <t>tvps.biz</t>
        </is>
      </c>
      <c r="G52" s="9" t="inlineStr">
        <is>
          <t>PHONE RE-CHECK 2026-09-04: UNCONFIRMED. tvps.biz publishes no phone on any page a search of their domain reaches - on-site services, patrol, training and employment pages all route to a contact form - so neither the (423) 401-0438 on file nor the 423-888-5222 dispatch line from the earlier note has an official source. Try both, dispatch first. The company checks out: state-licensed and insured, Chattanooga-based, run by former law enforcement and security management with 25+ years combined. Marked patrol vehicles running all night is exactly the wear pattern worth quoting.</t>
        </is>
      </c>
    </row>
    <row r="53">
      <c r="B53" s="7" t="inlineStr">
        <is>
          <t>A</t>
        </is>
      </c>
      <c r="C53" s="9" t="inlineStr">
        <is>
          <t>Tim Payne Painting</t>
        </is>
      </c>
      <c r="D53" s="9" t="inlineStr">
        <is>
          <t>(423) 498-3799</t>
        </is>
      </c>
      <c r="E53" s="9" t="inlineStr">
        <is>
          <t>Chattanooga</t>
        </is>
      </c>
      <c r="F53" s="9" t="inlineStr">
        <is>
          <t>timpaynepainters.com</t>
        </is>
      </c>
      <c r="G53" s="9" t="inlineStr">
        <is>
          <t>PHONE RE-CHECK 2026-09-04: UNCONFIRMED. timpaynepainters.com is live and detailed but publishes no phone a search of their domain will surface, so the (423) 498-3799 on file is UNSOURCED - spayne@timpaynepainters.com is the sourced way in. THE THREE-CITY CLAIM IS CONFIRMED IN THEIR OWN PAGE TITLES: Chattanooga, NASHVILLE and KNOXVILLE - genuine highway miles between crews. 25+ years in commercial and public-sector painting, maintenance painting, commercial soft washing and DRONE-POWERED soft washing. No street address published, so the record's East Brainerd Road stays off.</t>
        </is>
      </c>
    </row>
    <row r="54">
      <c r="B54" s="7" t="inlineStr">
        <is>
          <t>A</t>
        </is>
      </c>
      <c r="C54" s="9" t="inlineStr">
        <is>
          <t>Wilder Animal Care (Mobile Vet House Calls)</t>
        </is>
      </c>
      <c r="D54" s="9" t="inlineStr">
        <is>
          <t>(423) 886-1747</t>
        </is>
      </c>
      <c r="E54" s="9" t="inlineStr">
        <is>
          <t>Signal Mountain</t>
        </is>
      </c>
      <c r="F54" s="9" t="inlineStr">
        <is>
          <t>wilderanimalcare.com</t>
        </is>
      </c>
      <c r="G54" s="9" t="inlineStr">
        <is>
          <t>PHONE RE-CHECK 2026-09-04: UNCONFIRMED. Two searches of wilderanimalcare.com return no phone number on any page - contact, appointment, location or house-calls - they book through a form. The (423) 886-1747 on file is UNSOURCED; hello@wilderanimalcare.com is the sourced way in. Their Scout mobile clinic is confirmed, serving greater Chattanooga from the Signal Mountain base - one purpose-built vehicle, and a windshield on it is not optional.</t>
        </is>
      </c>
    </row>
    <row r="55">
      <c r="B55" s="7" t="inlineStr">
        <is>
          <t>A</t>
        </is>
      </c>
      <c r="C55" s="9" t="inlineStr">
        <is>
          <t>Wright Construction Company</t>
        </is>
      </c>
      <c r="D55" s="9" t="inlineStr">
        <is>
          <t>(423) 475-6753</t>
        </is>
      </c>
      <c r="E55" s="9" t="inlineStr">
        <is>
          <t>Hixson</t>
        </is>
      </c>
      <c r="F55" s="9" t="inlineStr">
        <is>
          <t>wrightconstructioninc.com</t>
        </is>
      </c>
      <c r="G55" s="9" t="inlineStr">
        <is>
          <t>PHONE RE-CHECK 2026-09-04: UNCONFIRMED. wrightconstructioninc.com is live with Chattanooga concrete and asphalt-paving pages, but publishes no phone for the Hixson office that a search of their domain will surface - and no 6111 Dayton Blvd address either. The (423) 475-6753 on file is UNSOURCED. They are a multi-city operator (Memphis, Nashville, Chattanooga, Birmingham, Huntsville) 30+ years in commercial paving, so the Chattanooga branch is real but needs a call to pin down. Heavy site-work fleet: dump trucks, pavers, service trucks.</t>
        </is>
      </c>
    </row>
    <row r="56">
      <c r="B56" s="7" t="inlineStr">
        <is>
          <t>A</t>
        </is>
      </c>
      <c r="C56" s="9" t="inlineStr">
        <is>
          <t>YERBEY CONCRETE CONSTRUCTION, INC.</t>
        </is>
      </c>
      <c r="D56" s="9" t="inlineStr">
        <is>
          <t>(423) 756-8881</t>
        </is>
      </c>
      <c r="E56" s="9" t="inlineStr">
        <is>
          <t>Chattanooga</t>
        </is>
      </c>
      <c r="F56" s="9" t="inlineStr">
        <is>
          <t>yerbey.com</t>
        </is>
      </c>
      <c r="G56" s="9" t="inlineStr">
        <is>
          <t>OFFICIAL SITE 2026-09-04: phone (423) 756-8881 and address 1901 Polk St 37408 RE-CONFIRMED - their site beats the record's Central Avenue, as the 09-03 pass judged. Hours Mon-Fri 8:00-17:00. Their own strapline is 'Building Chattanooga Since 1950', which squares with the 75-year note. Portfolio includes the Chattanooga Riverwalk and Chattanooga Airport - big pours, so mixers and finishing trucks on site daily. Tyler Settles has a staff page; treat Seth Williams as unconfirmed, as only Settles resurfaced. NOTE THE STREET: 1901 Polk sits with JBH Steel at 1801 and H&amp;H Brown at 1803 - Polk Street is a construction corridor, so three calls in one stop.</t>
        </is>
      </c>
    </row>
    <row r="57">
      <c r="B57" s="13" t="inlineStr">
        <is>
          <t>B</t>
        </is>
      </c>
      <c r="C57" s="9" t="inlineStr">
        <is>
          <t>American Foundation Repair &amp; Basement Waterproofing</t>
        </is>
      </c>
      <c r="D57" s="9" t="inlineStr">
        <is>
          <t>(423) 424-0825</t>
        </is>
      </c>
      <c r="E57" s="9" t="inlineStr">
        <is>
          <t>Chattanooga</t>
        </is>
      </c>
      <c r="F57" s="9" t="inlineStr">
        <is>
          <t>americanfw.com</t>
        </is>
      </c>
      <c r="G57" s="9" t="inlineStr">
        <is>
          <t>OFFICIAL SITE: resolves the earlier flag. americanfw.com carries a Chattanooga location page and says they have served Chattanooga since 2007, including commercial waterproofing. They publish only the Knoxville HQ number, so the sheet's 423-424-0825 is still unconfirmed - ask for the Chattanooga crew.</t>
        </is>
      </c>
    </row>
    <row r="58">
      <c r="B58" s="13" t="inlineStr">
        <is>
          <t>B</t>
        </is>
      </c>
      <c r="C58" s="9" t="inlineStr">
        <is>
          <t>Daisy Church of God</t>
        </is>
      </c>
      <c r="D58" s="9" t="inlineStr">
        <is>
          <t>(423) 332-2558</t>
        </is>
      </c>
      <c r="E58" s="9" t="inlineStr">
        <is>
          <t>Soddy-Daisy</t>
        </is>
      </c>
      <c r="F58" s="9" t="inlineStr">
        <is>
          <t>daisychurchofgod.net</t>
        </is>
      </c>
      <c r="G58" s="9" t="inlineStr">
        <is>
          <t>OFFICIAL SITE: live, affiliated with Church of God (Cleveland TN). No address, phone or email published - sheet details unconfirmed.</t>
        </is>
      </c>
    </row>
    <row r="59">
      <c r="B59" s="13" t="inlineStr">
        <is>
          <t>B</t>
        </is>
      </c>
      <c r="C59" s="9" t="inlineStr">
        <is>
          <t>Romero Roofing and Services</t>
        </is>
      </c>
      <c r="D59" s="9" t="inlineStr">
        <is>
          <t>(423) 424-6817</t>
        </is>
      </c>
      <c r="E59" s="9" t="inlineStr">
        <is>
          <t>Soddy-Daisy</t>
        </is>
      </c>
      <c r="F59" s="9" t="inlineStr">
        <is>
          <t>romero-roofing.com</t>
        </is>
      </c>
      <c r="G59" s="9" t="inlineStr">
        <is>
          <t>OFFICIAL SITE: address confirmed; trades as Romero Roofing and Exteriors, Inc. Phone not published on site, sheet number unconfirmed.</t>
        </is>
      </c>
    </row>
    <row r="60">
      <c r="B60" s="13" t="inlineStr">
        <is>
          <t>B</t>
        </is>
      </c>
      <c r="C60" s="9" t="inlineStr">
        <is>
          <t>Shuford's Smokehouse</t>
        </is>
      </c>
      <c r="D60" s="9" t="inlineStr">
        <is>
          <t>(423) 451-7102</t>
        </is>
      </c>
      <c r="E60" s="9" t="inlineStr">
        <is>
          <t>Soddy-Daisy</t>
        </is>
      </c>
      <c r="F60" s="9" t="inlineStr">
        <is>
          <t>shufordsbbq.com</t>
        </is>
      </c>
      <c r="G60" s="9" t="inlineStr">
        <is>
          <t>OFFICIAL SITE: corrected website to shufordsbbq.com (the sheet pointed at a third-party menu aggregator). Their site confirms the Soddy-Daisy location but publishes no address or phone, so those remain unconfirmed.</t>
        </is>
      </c>
    </row>
    <row r="61">
      <c r="B61" s="13" t="inlineStr">
        <is>
          <t>B</t>
        </is>
      </c>
      <c r="C61" s="9" t="inlineStr">
        <is>
          <t>Wholesale Beverages</t>
        </is>
      </c>
      <c r="D61" s="9" t="inlineStr">
        <is>
          <t>(423) 267-5691</t>
        </is>
      </c>
      <c r="E61" s="9" t="inlineStr">
        <is>
          <t>Chattanooga</t>
        </is>
      </c>
      <c r="F61" s="9" t="n"/>
      <c r="G61" s="9" t="inlineStr">
        <is>
          <t>Gap-filled 2026-09-04: no official website found, but findable with a consistent number and address, so kept under the relaxed rule. Beverage distribution means delivery trucks on daily routes.</t>
        </is>
      </c>
    </row>
    <row r="62">
      <c r="B62" s="14" t="inlineStr">
        <is>
          <t>C</t>
        </is>
      </c>
      <c r="C62" s="9" t="inlineStr">
        <is>
          <t>Christ Reformed Baptist Church</t>
        </is>
      </c>
      <c r="D62" s="9" t="inlineStr">
        <is>
          <t>(423) 521-2628</t>
        </is>
      </c>
      <c r="E62" s="9" t="inlineStr">
        <is>
          <t>Lookout Mountain</t>
        </is>
      </c>
      <c r="F62" s="9" t="inlineStr">
        <is>
          <t>crbchattanooga.org</t>
        </is>
      </c>
      <c r="G62" s="9" t="inlineStr">
        <is>
          <t>OFFICIAL SITE: address confirmed on Lookout Mountain. Phone and email not published - sheet phone unconfirmed.</t>
        </is>
      </c>
    </row>
    <row r="63">
      <c r="B63" s="14" t="inlineStr">
        <is>
          <t>C</t>
        </is>
      </c>
      <c r="C63" s="9" t="inlineStr">
        <is>
          <t>Joy Chiropractic Clinic</t>
        </is>
      </c>
      <c r="D63" s="9" t="inlineStr">
        <is>
          <t>(423) 298-1488</t>
        </is>
      </c>
      <c r="E63" s="9" t="inlineStr">
        <is>
          <t>Collegedale</t>
        </is>
      </c>
      <c r="F63" s="9" t="inlineStr">
        <is>
          <t>drjoychiropractic.com</t>
        </is>
      </c>
      <c r="G63" s="9" t="inlineStr">
        <is>
          <t>OFFICIAL SITE: live, Dr Joy-Lynn Norris, Collegedale. No address, phone or email published on the site - sheet phone unconfirmed.</t>
        </is>
      </c>
    </row>
    <row r="64">
      <c r="B64" s="14" t="inlineStr">
        <is>
          <t>C</t>
        </is>
      </c>
      <c r="C64" s="9" t="inlineStr">
        <is>
          <t>Octapharma Plasma</t>
        </is>
      </c>
      <c r="D64" s="9" t="inlineStr">
        <is>
          <t>(423) 402-9434</t>
        </is>
      </c>
      <c r="E64" s="9" t="inlineStr">
        <is>
          <t>Chattanooga</t>
        </is>
      </c>
      <c r="F64" s="9" t="inlineStr">
        <is>
          <t>octapharmaplasma.com/plasma-donation/chattanooga-tn-133</t>
        </is>
      </c>
      <c r="G64" s="9" t="inlineStr">
        <is>
          <t>OFFICIAL SITE: the Chattanooga centre is confirmed and sited off Brainerd Rd, but the company publishes no street address or local phone. Donor support line is 704-654-4970. The sheet's 423 number remains unconfirmed.</t>
        </is>
      </c>
    </row>
    <row r="65">
      <c r="B65" s="14" t="inlineStr">
        <is>
          <t>C</t>
        </is>
      </c>
      <c r="C65" s="9" t="inlineStr">
        <is>
          <t>Welch Dental Center, PLLC</t>
        </is>
      </c>
      <c r="D65" s="9" t="inlineStr">
        <is>
          <t>(423) 886-3649</t>
        </is>
      </c>
      <c r="E65" s="9" t="inlineStr">
        <is>
          <t>Signal Mountain</t>
        </is>
      </c>
      <c r="F65" s="9" t="inlineStr">
        <is>
          <t>welchdds.com</t>
        </is>
      </c>
      <c r="G65" s="9" t="inlineStr">
        <is>
          <t>OFFICIAL SITE: phone confirmed (fax 423-886-2726). Street address and email not published, so the sheet address is unconfirmed.</t>
        </is>
      </c>
    </row>
  </sheetData>
  <mergeCells count="1">
    <mergeCell ref="B2:G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20"/>
  <sheetViews>
    <sheetView showGridLines="0" workbookViewId="0">
      <selection activeCell="A1" sqref="A1"/>
    </sheetView>
  </sheetViews>
  <sheetFormatPr baseColWidth="8" defaultRowHeight="15"/>
  <cols>
    <col width="2" customWidth="1" min="1" max="1"/>
    <col width="34" customWidth="1" min="2" max="2"/>
    <col width="17" customWidth="1" min="3" max="3"/>
    <col width="13" customWidth="1" min="4" max="4"/>
    <col width="42" customWidth="1" min="5" max="5"/>
    <col width="16" customWidth="1" min="6" max="6"/>
  </cols>
  <sheetData>
    <row r="1">
      <c r="B1" s="15" t="inlineStr">
        <is>
          <t>Rows sharing a phone number</t>
        </is>
      </c>
    </row>
    <row r="2">
      <c r="B2" s="2" t="inlineStr">
        <is>
          <t>Found by scanning all 685 rows for repeated numbers. The first three groups are the same business entered twice - merge them and call once. The rest are genuinely separate sites that share a central line, so one call still covers the group.</t>
        </is>
      </c>
    </row>
    <row r="3"/>
    <row r="5">
      <c r="B5" s="16" t="inlineStr">
        <is>
          <t>Action</t>
        </is>
      </c>
      <c r="C5" s="16" t="inlineStr">
        <is>
          <t>Phone</t>
        </is>
      </c>
      <c r="D5" s="16" t="inlineStr">
        <is>
          <t>Row in source</t>
        </is>
      </c>
      <c r="E5" s="16" t="inlineStr">
        <is>
          <t>Business Name</t>
        </is>
      </c>
      <c r="F5" s="16" t="inlineStr">
        <is>
          <t>City</t>
        </is>
      </c>
    </row>
    <row r="6">
      <c r="B6" s="17" t="inlineStr">
        <is>
          <t>MERGE - same business</t>
        </is>
      </c>
      <c r="C6" s="18" t="inlineStr">
        <is>
          <t>(423) 755-0845</t>
        </is>
      </c>
      <c r="D6" s="18" t="n">
        <v>611</v>
      </c>
      <c r="E6" s="18" t="inlineStr">
        <is>
          <t>PGC LLC</t>
        </is>
      </c>
      <c r="F6" s="18" t="inlineStr">
        <is>
          <t>Chattanooga</t>
        </is>
      </c>
    </row>
    <row r="7">
      <c r="B7" s="17" t="inlineStr">
        <is>
          <t>MERGE - same business</t>
        </is>
      </c>
      <c r="C7" s="18" t="inlineStr">
        <is>
          <t>(423) 755-0845</t>
        </is>
      </c>
      <c r="D7" s="18" t="n">
        <v>67</v>
      </c>
      <c r="E7" s="18" t="inlineStr">
        <is>
          <t>Pointe General Contractors LLC</t>
        </is>
      </c>
      <c r="F7" s="18" t="inlineStr">
        <is>
          <t>Chattanooga</t>
        </is>
      </c>
    </row>
    <row r="9">
      <c r="B9" s="17" t="inlineStr">
        <is>
          <t>MERGE - same business</t>
        </is>
      </c>
      <c r="C9" s="18" t="inlineStr">
        <is>
          <t>(423) 821-1212</t>
        </is>
      </c>
      <c r="D9" s="18" t="n">
        <v>40</v>
      </c>
      <c r="E9" s="18" t="inlineStr">
        <is>
          <t>Covenant Logistics Group</t>
        </is>
      </c>
      <c r="F9" s="18" t="inlineStr">
        <is>
          <t>Chattanooga</t>
        </is>
      </c>
    </row>
    <row r="10">
      <c r="B10" s="17" t="inlineStr">
        <is>
          <t>MERGE - same business</t>
        </is>
      </c>
      <c r="C10" s="18" t="inlineStr">
        <is>
          <t>(423) 821-1212</t>
        </is>
      </c>
      <c r="D10" s="18" t="n">
        <v>509</v>
      </c>
      <c r="E10" s="18" t="inlineStr">
        <is>
          <t>Covenant Trucking Inc</t>
        </is>
      </c>
      <c r="F10" s="18" t="inlineStr">
        <is>
          <t>Chattanooga</t>
        </is>
      </c>
    </row>
    <row r="12">
      <c r="B12" s="17" t="inlineStr">
        <is>
          <t>MERGE - same business</t>
        </is>
      </c>
      <c r="C12" s="18" t="inlineStr">
        <is>
          <t>(423) 899-2406</t>
        </is>
      </c>
      <c r="D12" s="18" t="n">
        <v>609</v>
      </c>
      <c r="E12" s="18" t="inlineStr">
        <is>
          <t>Paul Davis Restoration of Chattanooga</t>
        </is>
      </c>
      <c r="F12" s="18" t="inlineStr">
        <is>
          <t>Chattanooga</t>
        </is>
      </c>
    </row>
    <row r="13">
      <c r="B13" s="17" t="inlineStr">
        <is>
          <t>MERGE - same business</t>
        </is>
      </c>
      <c r="C13" s="18" t="inlineStr">
        <is>
          <t>(423) 899-2406</t>
        </is>
      </c>
      <c r="D13" s="18" t="n">
        <v>86</v>
      </c>
      <c r="E13" s="18" t="inlineStr">
        <is>
          <t>Paul Davis Restoration of Greater Chattanooga</t>
        </is>
      </c>
      <c r="F13" s="18" t="inlineStr">
        <is>
          <t>Chattanooga</t>
        </is>
      </c>
    </row>
    <row r="15">
      <c r="B15" s="18" t="inlineStr">
        <is>
          <t>Shared line - separate sites, one call</t>
        </is>
      </c>
      <c r="C15" s="18" t="inlineStr">
        <is>
          <t>(423) 499-4919</t>
        </is>
      </c>
      <c r="D15" s="18" t="n">
        <v>444</v>
      </c>
      <c r="E15" s="18" t="inlineStr">
        <is>
          <t>Marion Environmental, Inc.</t>
        </is>
      </c>
      <c r="F15" s="18" t="inlineStr">
        <is>
          <t>Chattanooga</t>
        </is>
      </c>
    </row>
    <row r="16">
      <c r="B16" s="18" t="inlineStr">
        <is>
          <t>Shared line - separate sites, one call</t>
        </is>
      </c>
      <c r="C16" s="18" t="inlineStr">
        <is>
          <t>(423) 499-4919</t>
        </is>
      </c>
      <c r="D16" s="18" t="n">
        <v>583</v>
      </c>
      <c r="E16" s="18" t="inlineStr">
        <is>
          <t>MEI/AQUA TREAT, INC.</t>
        </is>
      </c>
      <c r="F16" s="18" t="inlineStr">
        <is>
          <t>Chattanooga</t>
        </is>
      </c>
    </row>
    <row r="18">
      <c r="B18" s="18" t="inlineStr">
        <is>
          <t>Shared line - separate sites, one call</t>
        </is>
      </c>
      <c r="C18" s="18" t="inlineStr">
        <is>
          <t>(423) 698-2541</t>
        </is>
      </c>
      <c r="D18" s="18" t="n">
        <v>151</v>
      </c>
      <c r="E18" s="18" t="inlineStr">
        <is>
          <t>Chattanooga Funeral Home, Crematory &amp; Florist - East Chapel</t>
        </is>
      </c>
      <c r="F18" s="18" t="inlineStr">
        <is>
          <t>East Ridge</t>
        </is>
      </c>
    </row>
    <row r="19">
      <c r="B19" s="18" t="inlineStr">
        <is>
          <t>Shared line - separate sites, one call</t>
        </is>
      </c>
      <c r="C19" s="18" t="inlineStr">
        <is>
          <t>(423) 698-2541</t>
        </is>
      </c>
      <c r="D19" s="18" t="n">
        <v>150</v>
      </c>
      <c r="E19" s="18" t="inlineStr">
        <is>
          <t>Chattanooga Funeral Home, Crematory &amp; Florist - North Chapel</t>
        </is>
      </c>
      <c r="F19" s="18" t="inlineStr">
        <is>
          <t>Hixson</t>
        </is>
      </c>
    </row>
    <row r="20">
      <c r="B20" s="18" t="inlineStr">
        <is>
          <t>Shared line - separate sites, one call</t>
        </is>
      </c>
      <c r="C20" s="18" t="inlineStr">
        <is>
          <t>(423) 698-2541</t>
        </is>
      </c>
      <c r="D20" s="18" t="n">
        <v>149</v>
      </c>
      <c r="E20" s="18" t="inlineStr">
        <is>
          <t>Chattanooga Funeral Home, Crematory &amp; Florist - Valley View Chapel</t>
        </is>
      </c>
      <c r="F20" s="18" t="inlineStr">
        <is>
          <t>Chattanooga</t>
        </is>
      </c>
    </row>
  </sheetData>
  <mergeCells count="1">
    <mergeCell ref="B2:F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24"/>
  <sheetViews>
    <sheetView showGridLines="0" workbookViewId="0">
      <selection activeCell="A1" sqref="A1"/>
    </sheetView>
  </sheetViews>
  <sheetFormatPr baseColWidth="8" defaultRowHeight="15"/>
  <cols>
    <col width="42" customWidth="1" min="2" max="2"/>
    <col width="12" customWidth="1" min="3" max="3"/>
  </cols>
  <sheetData>
    <row r="2">
      <c r="B2" s="15" t="inlineStr">
        <is>
          <t>Summary</t>
        </is>
      </c>
    </row>
    <row r="3">
      <c r="B3" s="19" t="inlineStr">
        <is>
          <t>Counts calculate live from the Call List tab - they update if you edit it.</t>
        </is>
      </c>
    </row>
    <row r="5">
      <c r="B5" s="20" t="inlineStr">
        <is>
          <t>Total prospects</t>
        </is>
      </c>
      <c r="C5" s="21">
        <f>COUNTA('Call List'!C2:C686)</f>
        <v/>
      </c>
    </row>
    <row r="6">
      <c r="B6" s="22" t="inlineStr">
        <is>
          <t>A - high priority</t>
        </is>
      </c>
      <c r="C6" s="23">
        <f>COUNTIF('Call List'!A2:A686,"A")</f>
        <v/>
      </c>
    </row>
    <row r="7">
      <c r="B7" s="22" t="inlineStr">
        <is>
          <t>B - medium priority</t>
        </is>
      </c>
      <c r="C7" s="23">
        <f>COUNTIF('Call List'!A2:A686,"B")</f>
        <v/>
      </c>
    </row>
    <row r="8">
      <c r="B8" s="22" t="inlineStr">
        <is>
          <t>C - low priority</t>
        </is>
      </c>
      <c r="C8" s="23">
        <f>COUNTIF('Call List'!A2:A686,"C")</f>
        <v/>
      </c>
    </row>
    <row r="10">
      <c r="B10" s="20" t="inlineStr">
        <is>
          <t>Phone confidence</t>
        </is>
      </c>
      <c r="C10" s="21" t="n"/>
    </row>
    <row r="11">
      <c r="B11" s="22" t="inlineStr">
        <is>
          <t>Corrected - use this number</t>
        </is>
      </c>
      <c r="C11" s="23">
        <f>COUNTIF('Call List'!B2:B686,"Corrected*")</f>
        <v/>
      </c>
    </row>
    <row r="12">
      <c r="B12" s="22" t="inlineStr">
        <is>
          <t>Confirmed on company site</t>
        </is>
      </c>
      <c r="C12" s="23">
        <f>COUNTIF('Call List'!B2:B686,"Confirmed*")</f>
        <v/>
      </c>
    </row>
    <row r="13">
      <c r="B13" s="22" t="inlineStr">
        <is>
          <t>Not phone re-checked yet</t>
        </is>
      </c>
      <c r="C13" s="23">
        <f>COUNTIF('Call List'!B2:B686,"Not phone*")</f>
        <v/>
      </c>
    </row>
    <row r="14">
      <c r="B14" s="22" t="inlineStr">
        <is>
          <t>Unconfirmed - verify first</t>
        </is>
      </c>
      <c r="C14" s="23">
        <f>COUNTIF('Call List'!B2:B686,"Unconfirmed*")</f>
        <v/>
      </c>
    </row>
    <row r="15">
      <c r="B15" s="22" t="inlineStr">
        <is>
          <t>No phone on file</t>
        </is>
      </c>
      <c r="C15" s="23">
        <f>COUNTIF('Call List'!B2:B686,"No phone*")</f>
        <v/>
      </c>
    </row>
    <row r="17">
      <c r="B17" s="20" t="inlineStr">
        <is>
          <t>Ready to call now (corrected + confirmed)</t>
        </is>
      </c>
      <c r="C17" s="21">
        <f>COUNTIF('Call List'!B2:B686,"Corrected*")+COUNTIF('Call List'!B2:B686,"Confirmed*")</f>
        <v/>
      </c>
    </row>
    <row r="19">
      <c r="B19" s="22" t="inlineStr">
        <is>
          <t>With an email address</t>
        </is>
      </c>
      <c r="C19" s="23">
        <f>COUNTA('Call List'!I2:I686)</f>
        <v/>
      </c>
    </row>
    <row r="20">
      <c r="B20" s="22" t="inlineStr">
        <is>
          <t>Calls logged so far</t>
        </is>
      </c>
      <c r="C20" s="23">
        <f>COUNTA('Call List'!K2:K686)</f>
        <v/>
      </c>
    </row>
    <row r="22">
      <c r="B22" s="2" t="inlineStr">
        <is>
          <t>A-priority rows are fully phone re-checked. The 293 B and C rows still showing "Not phone re-checked" are queued for the same treatment.</t>
        </is>
      </c>
    </row>
    <row r="23"/>
    <row r="24"/>
  </sheetData>
  <mergeCells count="1">
    <mergeCell ref="B22:C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2026-09-05T14:38:48Z</dcterms:created>
  <dcterms:modified xsi:type="dcterms:W3CDTF">2026-09-05T14:38:48Z</dcterms:modified>
</cp:coreProperties>
</file>